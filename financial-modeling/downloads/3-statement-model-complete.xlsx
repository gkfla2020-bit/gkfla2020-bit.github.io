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(#,##0);&quot;-&quot;"/>
    <numFmt numFmtId="166" formatCode="0.000"/>
    <numFmt numFmtId="167" formatCode="#,##0&quot;원&quot;"/>
  </numFmts>
  <fonts count="13">
    <font>
      <name val="Calibri"/>
      <family val="2"/>
      <color theme="1"/>
      <sz val="11"/>
      <scheme val="minor"/>
    </font>
    <font>
      <name val="Arial"/>
      <b val="1"/>
      <color rgb="FF1E4F38"/>
      <sz val="13"/>
    </font>
    <font>
      <name val="Arial"/>
      <i val="1"/>
      <color rgb="FF888888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00"/>
      <sz val="10"/>
    </font>
    <font>
      <name val="Arial"/>
      <i val="1"/>
      <color rgb="FF000000"/>
      <sz val="9"/>
    </font>
    <font>
      <name val="Arial"/>
      <b val="1"/>
      <color rgb="FF008000"/>
      <sz val="10"/>
    </font>
    <font>
      <name val="Arial"/>
      <color rgb="FF008000"/>
      <sz val="10"/>
    </font>
    <font>
      <name val="Arial"/>
      <b val="1"/>
      <color rgb="FF1E4F38"/>
      <sz val="10"/>
    </font>
    <font>
      <name val="Arial"/>
      <b val="1"/>
      <color rgb="FF000000"/>
      <sz val="9"/>
    </font>
    <font>
      <name val="Arial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E4F38"/>
      </patternFill>
    </fill>
    <fill>
      <patternFill patternType="solid">
        <fgColor rgb="FFFFFF00"/>
      </patternFill>
    </fill>
    <fill>
      <patternFill patternType="solid">
        <fgColor rgb="FF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 vertical="center"/>
    </xf>
    <xf numFmtId="1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F38"/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26" customWidth="1" min="4" max="4"/>
  </cols>
  <sheetData>
    <row r="1">
      <c r="B1" s="1" t="inlineStr">
        <is>
          <t>가정 (Assumptions)</t>
        </is>
      </c>
    </row>
    <row r="2">
      <c r="B2" s="2" t="inlineStr">
        <is>
          <t>단위: 억원 · 주식수 백만주 · 파란 셀만 바꾸면 모델 전체가 갱신됩니다</t>
        </is>
      </c>
    </row>
    <row r="3">
      <c r="B3" s="3" t="inlineStr">
        <is>
          <t>항목</t>
        </is>
      </c>
      <c r="C3" s="4" t="inlineStr">
        <is>
          <t>값</t>
        </is>
      </c>
      <c r="D3" s="3" t="inlineStr">
        <is>
          <t>비고</t>
        </is>
      </c>
    </row>
    <row r="4">
      <c r="B4" s="5" t="inlineStr">
        <is>
          <t>매출성장률 (추정연도)</t>
        </is>
      </c>
      <c r="C4" s="6" t="n">
        <v>0.07000000000000001</v>
      </c>
      <c r="D4" s="2" t="inlineStr">
        <is>
          <t>YoY, 추정연도 공통 적용</t>
        </is>
      </c>
    </row>
    <row r="5">
      <c r="B5" s="5" t="inlineStr">
        <is>
          <t>매출원가율 (COGS/매출)</t>
        </is>
      </c>
      <c r="C5" s="6" t="n">
        <v>0.62</v>
      </c>
      <c r="D5" s="2" t="inlineStr"/>
    </row>
    <row r="6">
      <c r="B6" s="5" t="inlineStr">
        <is>
          <t>판매관리비율 (SG&amp;A/매출)</t>
        </is>
      </c>
      <c r="C6" s="6" t="n">
        <v>0.2</v>
      </c>
      <c r="D6" s="2" t="inlineStr"/>
    </row>
    <row r="7">
      <c r="B7" s="5" t="inlineStr">
        <is>
          <t>법인세율</t>
        </is>
      </c>
      <c r="C7" s="6" t="n">
        <v>0.22</v>
      </c>
      <c r="D7" s="2" t="inlineStr"/>
    </row>
    <row r="8">
      <c r="B8" s="5" t="inlineStr">
        <is>
          <t>Capex / 매출</t>
        </is>
      </c>
      <c r="C8" s="6" t="n">
        <v>0.05</v>
      </c>
      <c r="D8" s="2" t="inlineStr"/>
    </row>
    <row r="9">
      <c r="B9" s="5" t="inlineStr">
        <is>
          <t>감가상각률 (기초 유형자산 대비)</t>
        </is>
      </c>
      <c r="C9" s="6" t="n">
        <v>0.1</v>
      </c>
      <c r="D9" s="2" t="inlineStr"/>
    </row>
    <row r="10">
      <c r="B10" s="5" t="inlineStr">
        <is>
          <t>매출채권 회수기간 DSO (일)</t>
        </is>
      </c>
      <c r="C10" s="7" t="n">
        <v>45</v>
      </c>
      <c r="D10" s="2" t="inlineStr"/>
    </row>
    <row r="11">
      <c r="B11" s="5" t="inlineStr">
        <is>
          <t>재고자산 보유기간 DIO (일)</t>
        </is>
      </c>
      <c r="C11" s="7" t="n">
        <v>60</v>
      </c>
      <c r="D11" s="2" t="inlineStr"/>
    </row>
    <row r="12">
      <c r="B12" s="5" t="inlineStr">
        <is>
          <t>매입채무 지급기간 DPO (일)</t>
        </is>
      </c>
      <c r="C12" s="7" t="n">
        <v>40</v>
      </c>
      <c r="D12" s="2" t="inlineStr"/>
    </row>
    <row r="13">
      <c r="B13" s="5" t="inlineStr">
        <is>
          <t>배당성향</t>
        </is>
      </c>
      <c r="C13" s="6" t="n">
        <v>0.2</v>
      </c>
      <c r="D13" s="2" t="inlineStr"/>
    </row>
    <row r="14">
      <c r="B14" s="5" t="inlineStr">
        <is>
          <t>차입금 이자율</t>
        </is>
      </c>
      <c r="C14" s="6" t="n">
        <v>0.045</v>
      </c>
      <c r="D14" s="2" t="inlineStr">
        <is>
          <t>기초 차입금 기준</t>
        </is>
      </c>
    </row>
    <row r="15">
      <c r="B15" s="5" t="inlineStr">
        <is>
          <t>WACC (할인율)</t>
        </is>
      </c>
      <c r="C15" s="6" t="n">
        <v>0.09</v>
      </c>
      <c r="D15" s="2" t="inlineStr"/>
    </row>
    <row r="16">
      <c r="B16" s="5" t="inlineStr">
        <is>
          <t>영구성장률 g</t>
        </is>
      </c>
      <c r="C16" s="6" t="n">
        <v>0.02</v>
      </c>
      <c r="D16" s="2" t="inlineStr">
        <is>
          <t>&lt; WACC</t>
        </is>
      </c>
    </row>
    <row r="17">
      <c r="B17" s="5" t="inlineStr">
        <is>
          <t>주식수 (백만주)</t>
        </is>
      </c>
      <c r="C17" s="8" t="n">
        <v>50</v>
      </c>
      <c r="D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7346"/>
    <outlinePr summaryBelow="1" summaryRight="1"/>
    <pageSetUpPr/>
  </sheetPr>
  <dimension ref="B1:H15"/>
  <sheetViews>
    <sheetView workbookViewId="0">
      <selection activeCell="A1" sqref="A1"/>
    </sheetView>
  </sheetViews>
  <sheetFormatPr baseColWidth="8" defaultRowHeight="15"/>
  <cols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1" t="inlineStr">
        <is>
          <t>손익계산서 (Income Statement)</t>
        </is>
      </c>
    </row>
    <row r="2">
      <c r="B2" s="2" t="inlineStr">
        <is>
          <t>단위: 억원</t>
        </is>
      </c>
    </row>
    <row r="3">
      <c r="B3" s="3" t="inlineStr">
        <is>
          <t>항목</t>
        </is>
      </c>
      <c r="C3" s="4" t="inlineStr">
        <is>
          <t>2022A</t>
        </is>
      </c>
      <c r="D3" s="4" t="inlineStr">
        <is>
          <t>2023A</t>
        </is>
      </c>
      <c r="E3" s="4" t="inlineStr">
        <is>
          <t>2024A</t>
        </is>
      </c>
      <c r="F3" s="4" t="inlineStr">
        <is>
          <t>2025E</t>
        </is>
      </c>
      <c r="G3" s="4" t="inlineStr">
        <is>
          <t>2026E</t>
        </is>
      </c>
      <c r="H3" s="4" t="inlineStr">
        <is>
          <t>2027E</t>
        </is>
      </c>
    </row>
    <row r="4">
      <c r="B4" s="9" t="inlineStr">
        <is>
          <t>매출액</t>
        </is>
      </c>
      <c r="C4" s="10" t="n">
        <v>1000</v>
      </c>
      <c r="D4" s="10" t="n">
        <v>1120</v>
      </c>
      <c r="E4" s="10" t="n">
        <v>1230</v>
      </c>
      <c r="F4" s="11">
        <f>E4*(1+가정!$C$4)</f>
        <v/>
      </c>
      <c r="G4" s="11">
        <f>F4*(1+가정!$C$4)</f>
        <v/>
      </c>
      <c r="H4" s="11">
        <f>G4*(1+가정!$C$4)</f>
        <v/>
      </c>
    </row>
    <row r="5">
      <c r="B5" s="5" t="inlineStr">
        <is>
          <t>(-) 매출원가</t>
        </is>
      </c>
      <c r="C5" s="10" t="n">
        <v>620</v>
      </c>
      <c r="D5" s="10" t="n">
        <v>694</v>
      </c>
      <c r="E5" s="10" t="n">
        <v>763</v>
      </c>
      <c r="F5" s="12">
        <f>F4*가정!$C$5</f>
        <v/>
      </c>
      <c r="G5" s="12">
        <f>G4*가정!$C$5</f>
        <v/>
      </c>
      <c r="H5" s="12">
        <f>H4*가정!$C$5</f>
        <v/>
      </c>
    </row>
    <row r="6">
      <c r="B6" s="9" t="inlineStr">
        <is>
          <t>매출총이익</t>
        </is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  <c r="H6" s="13">
        <f>H4-H5</f>
        <v/>
      </c>
    </row>
    <row r="7">
      <c r="B7" s="5" t="inlineStr">
        <is>
          <t>(-) 판매관리비</t>
        </is>
      </c>
      <c r="C7" s="10" t="n">
        <v>200</v>
      </c>
      <c r="D7" s="10" t="n">
        <v>224</v>
      </c>
      <c r="E7" s="10" t="n">
        <v>246</v>
      </c>
      <c r="F7" s="12">
        <f>F4*가정!$C$6</f>
        <v/>
      </c>
      <c r="G7" s="12">
        <f>G4*가정!$C$6</f>
        <v/>
      </c>
      <c r="H7" s="12">
        <f>H4*가정!$C$6</f>
        <v/>
      </c>
    </row>
    <row r="8">
      <c r="B8" s="9" t="inlineStr">
        <is>
          <t>영업이익 (EBIT)</t>
        </is>
      </c>
      <c r="C8" s="13">
        <f>C6-C7</f>
        <v/>
      </c>
      <c r="D8" s="13">
        <f>D6-D7</f>
        <v/>
      </c>
      <c r="E8" s="13">
        <f>E6-E7</f>
        <v/>
      </c>
      <c r="F8" s="13">
        <f>F6-F7</f>
        <v/>
      </c>
      <c r="G8" s="13">
        <f>G6-G7</f>
        <v/>
      </c>
      <c r="H8" s="13">
        <f>H6-H7</f>
        <v/>
      </c>
    </row>
    <row r="9">
      <c r="B9" s="5" t="inlineStr">
        <is>
          <t>(-) 이자비용</t>
        </is>
      </c>
      <c r="C9" s="10" t="n">
        <v>18</v>
      </c>
      <c r="D9" s="10" t="n">
        <v>19</v>
      </c>
      <c r="E9" s="10" t="n">
        <v>20</v>
      </c>
      <c r="F9" s="12">
        <f>가정!$C$14*BS!E14</f>
        <v/>
      </c>
      <c r="G9" s="12">
        <f>가정!$C$14*BS!F14</f>
        <v/>
      </c>
      <c r="H9" s="12">
        <f>가정!$C$14*BS!G14</f>
        <v/>
      </c>
    </row>
    <row r="10">
      <c r="B10" s="5" t="inlineStr">
        <is>
          <t>세전이익</t>
        </is>
      </c>
      <c r="C10" s="14">
        <f>C8-C9</f>
        <v/>
      </c>
      <c r="D10" s="14">
        <f>D8-D9</f>
        <v/>
      </c>
      <c r="E10" s="14">
        <f>E8-E9</f>
        <v/>
      </c>
      <c r="F10" s="14">
        <f>F8-F9</f>
        <v/>
      </c>
      <c r="G10" s="14">
        <f>G8-G9</f>
        <v/>
      </c>
      <c r="H10" s="14">
        <f>H8-H9</f>
        <v/>
      </c>
    </row>
    <row r="11">
      <c r="B11" s="5" t="inlineStr">
        <is>
          <t>(-) 법인세</t>
        </is>
      </c>
      <c r="C11" s="10" t="n">
        <v>36</v>
      </c>
      <c r="D11" s="10" t="n">
        <v>40</v>
      </c>
      <c r="E11" s="10" t="n">
        <v>44</v>
      </c>
      <c r="F11" s="12">
        <f>F10*가정!$C$7</f>
        <v/>
      </c>
      <c r="G11" s="12">
        <f>G10*가정!$C$7</f>
        <v/>
      </c>
      <c r="H11" s="12">
        <f>H10*가정!$C$7</f>
        <v/>
      </c>
    </row>
    <row r="12">
      <c r="B12" s="9" t="inlineStr">
        <is>
          <t>당기순이익</t>
        </is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  <c r="H12" s="13">
        <f>H10-H11</f>
        <v/>
      </c>
    </row>
    <row r="15">
      <c r="B15" s="15" t="inlineStr">
        <is>
          <t>영업이익률</t>
        </is>
      </c>
      <c r="C15" s="16">
        <f>C8/C4</f>
        <v/>
      </c>
      <c r="D15" s="16">
        <f>D8/D4</f>
        <v/>
      </c>
      <c r="E15" s="16">
        <f>E8/E4</f>
        <v/>
      </c>
      <c r="F15" s="16">
        <f>F8/F4</f>
        <v/>
      </c>
      <c r="G15" s="16">
        <f>G8/G4</f>
        <v/>
      </c>
      <c r="H15" s="16">
        <f>H8/H4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7346"/>
    <outlinePr summaryBelow="1" summaryRight="1"/>
    <pageSetUpPr/>
  </sheetPr>
  <dimension ref="B1:H23"/>
  <sheetViews>
    <sheetView workbookViewId="0">
      <selection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1" t="inlineStr">
        <is>
          <t>재무상태표 (Balance Sheet)</t>
        </is>
      </c>
    </row>
    <row r="2">
      <c r="B2" s="2" t="inlineStr">
        <is>
          <t>단위: 억원</t>
        </is>
      </c>
    </row>
    <row r="3">
      <c r="B3" s="3" t="inlineStr">
        <is>
          <t>항목</t>
        </is>
      </c>
      <c r="C3" s="4" t="inlineStr">
        <is>
          <t>2022A</t>
        </is>
      </c>
      <c r="D3" s="4" t="inlineStr">
        <is>
          <t>2023A</t>
        </is>
      </c>
      <c r="E3" s="4" t="inlineStr">
        <is>
          <t>2024A</t>
        </is>
      </c>
      <c r="F3" s="4" t="inlineStr">
        <is>
          <t>2025E</t>
        </is>
      </c>
      <c r="G3" s="4" t="inlineStr">
        <is>
          <t>2026E</t>
        </is>
      </c>
      <c r="H3" s="4" t="inlineStr">
        <is>
          <t>2027E</t>
        </is>
      </c>
    </row>
    <row r="5">
      <c r="B5" s="17" t="inlineStr">
        <is>
          <t>[ 자산 ]</t>
        </is>
      </c>
    </row>
    <row r="6">
      <c r="B6" s="5" t="inlineStr">
        <is>
          <t>현금및현금성자산</t>
        </is>
      </c>
      <c r="C6" s="10" t="n">
        <v>344</v>
      </c>
      <c r="D6" s="10" t="n">
        <v>419</v>
      </c>
      <c r="E6" s="10" t="n">
        <v>508</v>
      </c>
      <c r="F6" s="12">
        <f>CF!F24</f>
        <v/>
      </c>
      <c r="G6" s="12">
        <f>CF!G24</f>
        <v/>
      </c>
      <c r="H6" s="12">
        <f>CF!H24</f>
        <v/>
      </c>
    </row>
    <row r="7">
      <c r="B7" s="5" t="inlineStr">
        <is>
          <t>매출채권</t>
        </is>
      </c>
      <c r="C7" s="10" t="n">
        <v>123</v>
      </c>
      <c r="D7" s="10" t="n">
        <v>138</v>
      </c>
      <c r="E7" s="10" t="n">
        <v>152</v>
      </c>
      <c r="F7" s="12">
        <f>IS!F4*가정!$C$10/365</f>
        <v/>
      </c>
      <c r="G7" s="12">
        <f>IS!G4*가정!$C$10/365</f>
        <v/>
      </c>
      <c r="H7" s="12">
        <f>IS!H4*가정!$C$10/365</f>
        <v/>
      </c>
    </row>
    <row r="8">
      <c r="B8" s="5" t="inlineStr">
        <is>
          <t>재고자산</t>
        </is>
      </c>
      <c r="C8" s="10" t="n">
        <v>102</v>
      </c>
      <c r="D8" s="10" t="n">
        <v>114</v>
      </c>
      <c r="E8" s="10" t="n">
        <v>125</v>
      </c>
      <c r="F8" s="12">
        <f>IS!F5*가정!$C$11/365</f>
        <v/>
      </c>
      <c r="G8" s="12">
        <f>IS!G5*가정!$C$11/365</f>
        <v/>
      </c>
      <c r="H8" s="12">
        <f>IS!H5*가정!$C$11/365</f>
        <v/>
      </c>
    </row>
    <row r="9">
      <c r="B9" s="5" t="inlineStr">
        <is>
          <t>유형자산(순)</t>
        </is>
      </c>
      <c r="C9" s="10" t="n">
        <v>500</v>
      </c>
      <c r="D9" s="10" t="n">
        <v>540</v>
      </c>
      <c r="E9" s="10" t="n">
        <v>580</v>
      </c>
      <c r="F9" s="12">
        <f>E9+가정!$C$8*IS!F4-가정!$C$9*E9</f>
        <v/>
      </c>
      <c r="G9" s="12">
        <f>F9+가정!$C$8*IS!G4-가정!$C$9*F9</f>
        <v/>
      </c>
      <c r="H9" s="12">
        <f>G9+가정!$C$8*IS!H4-가정!$C$9*G9</f>
        <v/>
      </c>
    </row>
    <row r="10">
      <c r="B10" s="9" t="inlineStr">
        <is>
          <t>자산총계</t>
        </is>
      </c>
      <c r="C10" s="13">
        <f>SUM(C6:C9)</f>
        <v/>
      </c>
      <c r="D10" s="13">
        <f>SUM(D6:D9)</f>
        <v/>
      </c>
      <c r="E10" s="13">
        <f>SUM(E6:E9)</f>
        <v/>
      </c>
      <c r="F10" s="13">
        <f>SUM(F6:F9)</f>
        <v/>
      </c>
      <c r="G10" s="13">
        <f>SUM(G6:G9)</f>
        <v/>
      </c>
      <c r="H10" s="13">
        <f>SUM(H6:H9)</f>
        <v/>
      </c>
    </row>
    <row r="12">
      <c r="B12" s="17" t="inlineStr">
        <is>
          <t>[ 부채 ]</t>
        </is>
      </c>
    </row>
    <row r="13">
      <c r="B13" s="5" t="inlineStr">
        <is>
          <t>매입채무</t>
        </is>
      </c>
      <c r="C13" s="10" t="n">
        <v>68</v>
      </c>
      <c r="D13" s="10" t="n">
        <v>76</v>
      </c>
      <c r="E13" s="10" t="n">
        <v>84</v>
      </c>
      <c r="F13" s="12">
        <f>IS!F5*가정!$C$12/365</f>
        <v/>
      </c>
      <c r="G13" s="12">
        <f>IS!G5*가정!$C$12/365</f>
        <v/>
      </c>
      <c r="H13" s="12">
        <f>IS!H5*가정!$C$12/365</f>
        <v/>
      </c>
    </row>
    <row r="14">
      <c r="B14" s="5" t="inlineStr">
        <is>
          <t>차입금</t>
        </is>
      </c>
      <c r="C14" s="10" t="n">
        <v>400</v>
      </c>
      <c r="D14" s="10" t="n">
        <v>420</v>
      </c>
      <c r="E14" s="10" t="n">
        <v>440</v>
      </c>
      <c r="F14" s="14">
        <f>E14</f>
        <v/>
      </c>
      <c r="G14" s="14">
        <f>F14</f>
        <v/>
      </c>
      <c r="H14" s="14">
        <f>G14</f>
        <v/>
      </c>
    </row>
    <row r="15">
      <c r="B15" s="9" t="inlineStr">
        <is>
          <t>부채총계</t>
        </is>
      </c>
      <c r="C15" s="13">
        <f>SUM(C13:C14)</f>
        <v/>
      </c>
      <c r="D15" s="13">
        <f>SUM(D13:D14)</f>
        <v/>
      </c>
      <c r="E15" s="13">
        <f>SUM(E13:E14)</f>
        <v/>
      </c>
      <c r="F15" s="13">
        <f>SUM(F13:F14)</f>
        <v/>
      </c>
      <c r="G15" s="13">
        <f>SUM(G13:G14)</f>
        <v/>
      </c>
      <c r="H15" s="13">
        <f>SUM(H13:H14)</f>
        <v/>
      </c>
    </row>
    <row r="17">
      <c r="B17" s="17" t="inlineStr">
        <is>
          <t>[ 자본 ]</t>
        </is>
      </c>
    </row>
    <row r="18">
      <c r="B18" s="5" t="inlineStr">
        <is>
          <t>자본금</t>
        </is>
      </c>
      <c r="C18" s="10" t="n">
        <v>300</v>
      </c>
      <c r="D18" s="10" t="n">
        <v>300</v>
      </c>
      <c r="E18" s="10" t="n">
        <v>300</v>
      </c>
      <c r="F18" s="14">
        <f>E18</f>
        <v/>
      </c>
      <c r="G18" s="14">
        <f>F18</f>
        <v/>
      </c>
      <c r="H18" s="14">
        <f>G18</f>
        <v/>
      </c>
    </row>
    <row r="19">
      <c r="B19" s="5" t="inlineStr">
        <is>
          <t>이익잉여금</t>
        </is>
      </c>
      <c r="C19" s="10" t="n">
        <v>301</v>
      </c>
      <c r="D19" s="10" t="n">
        <v>415</v>
      </c>
      <c r="E19" s="10" t="n">
        <v>541</v>
      </c>
      <c r="F19" s="12">
        <f>E19+IS!F12-가정!$C$13*IS!F12</f>
        <v/>
      </c>
      <c r="G19" s="12">
        <f>F19+IS!G12-가정!$C$13*IS!G12</f>
        <v/>
      </c>
      <c r="H19" s="12">
        <f>G19+IS!H12-가정!$C$13*IS!H12</f>
        <v/>
      </c>
    </row>
    <row r="20">
      <c r="B20" s="9" t="inlineStr">
        <is>
          <t>자본총계</t>
        </is>
      </c>
      <c r="C20" s="13">
        <f>SUM(C18:C19)</f>
        <v/>
      </c>
      <c r="D20" s="13">
        <f>SUM(D18:D19)</f>
        <v/>
      </c>
      <c r="E20" s="13">
        <f>SUM(E18:E19)</f>
        <v/>
      </c>
      <c r="F20" s="13">
        <f>SUM(F18:F19)</f>
        <v/>
      </c>
      <c r="G20" s="13">
        <f>SUM(G18:G19)</f>
        <v/>
      </c>
      <c r="H20" s="13">
        <f>SUM(H18:H19)</f>
        <v/>
      </c>
    </row>
    <row r="21">
      <c r="B21" s="9" t="inlineStr">
        <is>
          <t>부채와자본총계</t>
        </is>
      </c>
      <c r="C21" s="13">
        <f>C15+C20</f>
        <v/>
      </c>
      <c r="D21" s="13">
        <f>D15+D20</f>
        <v/>
      </c>
      <c r="E21" s="13">
        <f>E15+E20</f>
        <v/>
      </c>
      <c r="F21" s="13">
        <f>F15+F20</f>
        <v/>
      </c>
      <c r="G21" s="13">
        <f>G15+G20</f>
        <v/>
      </c>
      <c r="H21" s="13">
        <f>H15+H20</f>
        <v/>
      </c>
    </row>
    <row r="23">
      <c r="B23" s="5" t="inlineStr">
        <is>
          <t>검증 (자산-부채-자본)</t>
        </is>
      </c>
      <c r="C23" s="18">
        <f>C10-C21</f>
        <v/>
      </c>
      <c r="D23" s="18">
        <f>D10-D21</f>
        <v/>
      </c>
      <c r="E23" s="18">
        <f>E10-E21</f>
        <v/>
      </c>
      <c r="F23" s="18">
        <f>F10-F21</f>
        <v/>
      </c>
      <c r="G23" s="18">
        <f>G10-G21</f>
        <v/>
      </c>
      <c r="H23" s="18">
        <f>H10-H21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7346"/>
    <outlinePr summaryBelow="1" summaryRight="1"/>
    <pageSetUpPr/>
  </sheetPr>
  <dimension ref="B1:H24"/>
  <sheetViews>
    <sheetView workbookViewId="0">
      <selection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1" t="inlineStr">
        <is>
          <t>현금흐름표 (Cash Flow, 간접법)</t>
        </is>
      </c>
    </row>
    <row r="2">
      <c r="B2" s="2" t="inlineStr">
        <is>
          <t>단위: 억원 · 추정연도만 산출</t>
        </is>
      </c>
    </row>
    <row r="3">
      <c r="B3" s="3" t="inlineStr">
        <is>
          <t>항목</t>
        </is>
      </c>
      <c r="C3" s="4" t="inlineStr">
        <is>
          <t>2022A</t>
        </is>
      </c>
      <c r="D3" s="4" t="inlineStr">
        <is>
          <t>2023A</t>
        </is>
      </c>
      <c r="E3" s="4" t="inlineStr">
        <is>
          <t>2024A</t>
        </is>
      </c>
      <c r="F3" s="4" t="inlineStr">
        <is>
          <t>2025E</t>
        </is>
      </c>
      <c r="G3" s="4" t="inlineStr">
        <is>
          <t>2026E</t>
        </is>
      </c>
      <c r="H3" s="4" t="inlineStr">
        <is>
          <t>2027E</t>
        </is>
      </c>
    </row>
    <row r="5">
      <c r="B5" s="17" t="inlineStr">
        <is>
          <t>[ 영업활동 ]</t>
        </is>
      </c>
    </row>
    <row r="6">
      <c r="B6" s="5" t="inlineStr">
        <is>
          <t>당기순이익</t>
        </is>
      </c>
      <c r="F6" s="12">
        <f>IS!F12</f>
        <v/>
      </c>
      <c r="G6" s="12">
        <f>IS!G12</f>
        <v/>
      </c>
      <c r="H6" s="12">
        <f>IS!H12</f>
        <v/>
      </c>
    </row>
    <row r="7">
      <c r="B7" s="5" t="inlineStr">
        <is>
          <t>(+) 감가상각비</t>
        </is>
      </c>
      <c r="F7" s="12">
        <f>가정!$C$9*BS!E9</f>
        <v/>
      </c>
      <c r="G7" s="12">
        <f>가정!$C$9*BS!F9</f>
        <v/>
      </c>
      <c r="H7" s="12">
        <f>가정!$C$9*BS!G9</f>
        <v/>
      </c>
    </row>
    <row r="8">
      <c r="B8" s="5" t="inlineStr">
        <is>
          <t>(-) 매출채권 증감</t>
        </is>
      </c>
      <c r="F8" s="12">
        <f>-(BS!F7-BS!E7)</f>
        <v/>
      </c>
      <c r="G8" s="12">
        <f>-(BS!G7-BS!F7)</f>
        <v/>
      </c>
      <c r="H8" s="12">
        <f>-(BS!H7-BS!G7)</f>
        <v/>
      </c>
    </row>
    <row r="9">
      <c r="B9" s="5" t="inlineStr">
        <is>
          <t>(-) 재고자산 증감</t>
        </is>
      </c>
      <c r="F9" s="12">
        <f>-(BS!F8-BS!E8)</f>
        <v/>
      </c>
      <c r="G9" s="12">
        <f>-(BS!G8-BS!F8)</f>
        <v/>
      </c>
      <c r="H9" s="12">
        <f>-(BS!H8-BS!G8)</f>
        <v/>
      </c>
    </row>
    <row r="10">
      <c r="B10" s="5" t="inlineStr">
        <is>
          <t>(+) 매입채무 증감</t>
        </is>
      </c>
      <c r="F10" s="12">
        <f>BS!F13-BS!E13</f>
        <v/>
      </c>
      <c r="G10" s="12">
        <f>BS!G13-BS!F13</f>
        <v/>
      </c>
      <c r="H10" s="12">
        <f>BS!H13-BS!G13</f>
        <v/>
      </c>
    </row>
    <row r="11">
      <c r="B11" s="9" t="inlineStr">
        <is>
          <t>영업활동 현금흐름</t>
        </is>
      </c>
      <c r="F11" s="13">
        <f>SUM(F6:F10)</f>
        <v/>
      </c>
      <c r="G11" s="13">
        <f>SUM(G6:G10)</f>
        <v/>
      </c>
      <c r="H11" s="13">
        <f>SUM(H6:H10)</f>
        <v/>
      </c>
    </row>
    <row r="13">
      <c r="B13" s="17" t="inlineStr">
        <is>
          <t>[ 투자활동 ]</t>
        </is>
      </c>
    </row>
    <row r="14">
      <c r="B14" s="5" t="inlineStr">
        <is>
          <t>(-) Capex</t>
        </is>
      </c>
      <c r="F14" s="12">
        <f>-가정!$C$8*IS!F4</f>
        <v/>
      </c>
      <c r="G14" s="12">
        <f>-가정!$C$8*IS!G4</f>
        <v/>
      </c>
      <c r="H14" s="12">
        <f>-가정!$C$8*IS!H4</f>
        <v/>
      </c>
    </row>
    <row r="15">
      <c r="B15" s="9" t="inlineStr">
        <is>
          <t>투자활동 현금흐름</t>
        </is>
      </c>
      <c r="F15" s="13">
        <f>F14</f>
        <v/>
      </c>
      <c r="G15" s="13">
        <f>G14</f>
        <v/>
      </c>
      <c r="H15" s="13">
        <f>H14</f>
        <v/>
      </c>
    </row>
    <row r="17">
      <c r="B17" s="17" t="inlineStr">
        <is>
          <t>[ 재무활동 ]</t>
        </is>
      </c>
    </row>
    <row r="18">
      <c r="B18" s="5" t="inlineStr">
        <is>
          <t>차입금 증감</t>
        </is>
      </c>
      <c r="F18" s="12">
        <f>BS!F14-BS!E14</f>
        <v/>
      </c>
      <c r="G18" s="12">
        <f>BS!G14-BS!F14</f>
        <v/>
      </c>
      <c r="H18" s="12">
        <f>BS!H14-BS!G14</f>
        <v/>
      </c>
    </row>
    <row r="19">
      <c r="B19" s="5" t="inlineStr">
        <is>
          <t>(-) 배당금</t>
        </is>
      </c>
      <c r="F19" s="12">
        <f>-가정!$C$13*IS!F12</f>
        <v/>
      </c>
      <c r="G19" s="12">
        <f>-가정!$C$13*IS!G12</f>
        <v/>
      </c>
      <c r="H19" s="12">
        <f>-가정!$C$13*IS!H12</f>
        <v/>
      </c>
    </row>
    <row r="20">
      <c r="B20" s="9" t="inlineStr">
        <is>
          <t>재무활동 현금흐름</t>
        </is>
      </c>
      <c r="F20" s="13">
        <f>SUM(F18:F19)</f>
        <v/>
      </c>
      <c r="G20" s="13">
        <f>SUM(G18:G19)</f>
        <v/>
      </c>
      <c r="H20" s="13">
        <f>SUM(H18:H19)</f>
        <v/>
      </c>
    </row>
    <row r="22">
      <c r="B22" s="9" t="inlineStr">
        <is>
          <t>순현금흐름</t>
        </is>
      </c>
      <c r="F22" s="13">
        <f>F11+F15+F20</f>
        <v/>
      </c>
      <c r="G22" s="13">
        <f>G11+G15+G20</f>
        <v/>
      </c>
      <c r="H22" s="13">
        <f>H11+H15+H20</f>
        <v/>
      </c>
    </row>
    <row r="23">
      <c r="B23" s="5" t="inlineStr">
        <is>
          <t>기초 현금</t>
        </is>
      </c>
      <c r="F23" s="12">
        <f>BS!E6</f>
        <v/>
      </c>
      <c r="G23" s="12">
        <f>BS!F6</f>
        <v/>
      </c>
      <c r="H23" s="12">
        <f>BS!G6</f>
        <v/>
      </c>
    </row>
    <row r="24">
      <c r="B24" s="9" t="inlineStr">
        <is>
          <t>기말 현금</t>
        </is>
      </c>
      <c r="F24" s="13">
        <f>F22+F23</f>
        <v/>
      </c>
      <c r="G24" s="13">
        <f>G22+G23</f>
        <v/>
      </c>
      <c r="H24" s="13">
        <f>H22+H23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B1:H32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DCF 밸류에이션</t>
        </is>
      </c>
    </row>
    <row r="2">
      <c r="B2" s="2" t="inlineStr">
        <is>
          <t>단위: 억원 · 주당가치 원</t>
        </is>
      </c>
    </row>
    <row r="3">
      <c r="B3" s="3" t="inlineStr">
        <is>
          <t>항목</t>
        </is>
      </c>
      <c r="C3" s="4" t="inlineStr">
        <is>
          <t>2025E</t>
        </is>
      </c>
      <c r="D3" s="4" t="inlineStr">
        <is>
          <t>2026E</t>
        </is>
      </c>
      <c r="E3" s="4" t="inlineStr">
        <is>
          <t>2027E</t>
        </is>
      </c>
    </row>
    <row r="4">
      <c r="B4" s="5" t="inlineStr">
        <is>
          <t>영업이익 (EBIT)</t>
        </is>
      </c>
      <c r="C4" s="12">
        <f>IS!F8</f>
        <v/>
      </c>
      <c r="D4" s="12">
        <f>IS!G8</f>
        <v/>
      </c>
      <c r="E4" s="12">
        <f>IS!H8</f>
        <v/>
      </c>
    </row>
    <row r="5">
      <c r="B5" s="5" t="inlineStr">
        <is>
          <t>EBIT×(1-t)</t>
        </is>
      </c>
      <c r="C5" s="12">
        <f>C4*(1-가정!$C$7)</f>
        <v/>
      </c>
      <c r="D5" s="12">
        <f>D4*(1-가정!$C$7)</f>
        <v/>
      </c>
      <c r="E5" s="12">
        <f>E4*(1-가정!$C$7)</f>
        <v/>
      </c>
    </row>
    <row r="6">
      <c r="B6" s="5" t="inlineStr">
        <is>
          <t>(+) 감가상각비</t>
        </is>
      </c>
      <c r="C6" s="12">
        <f>가정!$C$9*BS!E9</f>
        <v/>
      </c>
      <c r="D6" s="12">
        <f>가정!$C$9*BS!F9</f>
        <v/>
      </c>
      <c r="E6" s="12">
        <f>가정!$C$9*BS!G9</f>
        <v/>
      </c>
    </row>
    <row r="7">
      <c r="B7" s="5" t="inlineStr">
        <is>
          <t>(-) Capex</t>
        </is>
      </c>
      <c r="C7" s="12">
        <f>-가정!$C$8*IS!F4</f>
        <v/>
      </c>
      <c r="D7" s="12">
        <f>-가정!$C$8*IS!G4</f>
        <v/>
      </c>
      <c r="E7" s="12">
        <f>-가정!$C$8*IS!H4</f>
        <v/>
      </c>
    </row>
    <row r="8">
      <c r="B8" s="5" t="inlineStr">
        <is>
          <t>(-) 순운전자본 증감</t>
        </is>
      </c>
      <c r="C8" s="12">
        <f>-((BS!F7+BS!F8-BS!F13)-(BS!E7+BS!E8-BS!E13))</f>
        <v/>
      </c>
      <c r="D8" s="12">
        <f>-((BS!G7+BS!G8-BS!G13)-(BS!F7+BS!F8-BS!F13))</f>
        <v/>
      </c>
      <c r="E8" s="12">
        <f>-((BS!H7+BS!H8-BS!H13)-(BS!G7+BS!G8-BS!G13))</f>
        <v/>
      </c>
    </row>
    <row r="9">
      <c r="B9" s="9" t="inlineStr">
        <is>
          <t>FCFF</t>
        </is>
      </c>
      <c r="C9" s="13">
        <f>C5+C6+C7+C8</f>
        <v/>
      </c>
      <c r="D9" s="13">
        <f>D5+D6+D7+D8</f>
        <v/>
      </c>
      <c r="E9" s="13">
        <f>E5+E6+E7+E8</f>
        <v/>
      </c>
    </row>
    <row r="10">
      <c r="B10" s="5" t="inlineStr">
        <is>
          <t>할인연차 n</t>
        </is>
      </c>
      <c r="C10" s="19" t="n">
        <v>1</v>
      </c>
      <c r="D10" s="19" t="n">
        <v>2</v>
      </c>
      <c r="E10" s="19" t="n">
        <v>3</v>
      </c>
    </row>
    <row r="11">
      <c r="B11" s="5" t="inlineStr">
        <is>
          <t>할인계수</t>
        </is>
      </c>
      <c r="C11" s="20">
        <f>1/(1+가정!$C$15)^C10</f>
        <v/>
      </c>
      <c r="D11" s="20">
        <f>1/(1+가정!$C$15)^D10</f>
        <v/>
      </c>
      <c r="E11" s="20">
        <f>1/(1+가정!$C$15)^E10</f>
        <v/>
      </c>
    </row>
    <row r="12">
      <c r="B12" s="5" t="inlineStr">
        <is>
          <t>PV(FCFF)</t>
        </is>
      </c>
      <c r="C12" s="14">
        <f>C9*C11</f>
        <v/>
      </c>
      <c r="D12" s="14">
        <f>D9*D11</f>
        <v/>
      </c>
      <c r="E12" s="14">
        <f>E9*E11</f>
        <v/>
      </c>
    </row>
    <row r="14">
      <c r="B14" s="5" t="inlineStr">
        <is>
          <t>PV(FCFF) 합계</t>
        </is>
      </c>
      <c r="C14" s="12">
        <f>SUM(C12:E12)</f>
        <v/>
      </c>
    </row>
    <row r="15">
      <c r="B15" s="5" t="inlineStr">
        <is>
          <t>영구가치 (TV)</t>
        </is>
      </c>
      <c r="C15" s="12">
        <f>E9*(1+가정!$C$16)/(가정!$C$15-가정!$C$16)</f>
        <v/>
      </c>
    </row>
    <row r="16">
      <c r="B16" s="5" t="inlineStr">
        <is>
          <t>PV(TV)</t>
        </is>
      </c>
      <c r="C16" s="14">
        <f>C15*E11</f>
        <v/>
      </c>
    </row>
    <row r="17">
      <c r="B17" s="9" t="inlineStr">
        <is>
          <t>기업가치 (EV)</t>
        </is>
      </c>
      <c r="C17" s="13">
        <f>C14+C16</f>
        <v/>
      </c>
    </row>
    <row r="18">
      <c r="B18" s="5" t="inlineStr">
        <is>
          <t>(-) 순차입금</t>
        </is>
      </c>
      <c r="C18" s="12">
        <f>BS!E14-BS!E6</f>
        <v/>
      </c>
    </row>
    <row r="19">
      <c r="B19" s="9" t="inlineStr">
        <is>
          <t>자기자본가치</t>
        </is>
      </c>
      <c r="C19" s="13">
        <f>C17-C18</f>
        <v/>
      </c>
    </row>
    <row r="20">
      <c r="B20" s="5" t="inlineStr">
        <is>
          <t>주식수 (백만주)</t>
        </is>
      </c>
      <c r="C20" s="21">
        <f>가정!$C$17</f>
        <v/>
      </c>
    </row>
    <row r="21">
      <c r="B21" s="9" t="inlineStr">
        <is>
          <t>주당 내재가치 (원)</t>
        </is>
      </c>
      <c r="C21" s="22">
        <f>C19*100000000/(C20*1000000)</f>
        <v/>
      </c>
    </row>
    <row r="22">
      <c r="B22" s="5" t="inlineStr">
        <is>
          <t>(참고) 현재주가 (원)</t>
        </is>
      </c>
      <c r="C22" s="23" t="n">
        <v>4000</v>
      </c>
    </row>
    <row r="23">
      <c r="B23" s="5" t="inlineStr">
        <is>
          <t>상승여력</t>
        </is>
      </c>
      <c r="C23" s="24">
        <f>C21/C22-1</f>
        <v/>
      </c>
    </row>
    <row r="26">
      <c r="B26" s="25" t="inlineStr">
        <is>
          <t>주당가치 민감도 (WACC × 영구성장률 g)</t>
        </is>
      </c>
    </row>
    <row r="27">
      <c r="C27" s="26" t="inlineStr">
        <is>
          <t>WACC \ g</t>
        </is>
      </c>
      <c r="D27" s="27" t="n">
        <v>0.01</v>
      </c>
      <c r="E27" s="27" t="n">
        <v>0.015</v>
      </c>
      <c r="F27" s="27" t="n">
        <v>0.02</v>
      </c>
      <c r="G27" s="27" t="n">
        <v>0.025</v>
      </c>
      <c r="H27" s="27" t="n">
        <v>0.03</v>
      </c>
    </row>
    <row r="28">
      <c r="C28" s="28" t="n">
        <v>0.08</v>
      </c>
      <c r="D28" s="29">
        <f>($C$9/(1+$C28)^1+$D$9/(1+$C28)^2+$E$9/(1+$C28)^3+($E$9*(1+D$27)/($C28-D$27))/(1+$C28)^3-$C$18)*100000000/($C$20*1000000)</f>
        <v/>
      </c>
      <c r="E28" s="29">
        <f>($C$9/(1+$C28)^1+$D$9/(1+$C28)^2+$E$9/(1+$C28)^3+($E$9*(1+E$27)/($C28-E$27))/(1+$C28)^3-$C$18)*100000000/($C$20*1000000)</f>
        <v/>
      </c>
      <c r="F28" s="29">
        <f>($C$9/(1+$C28)^1+$D$9/(1+$C28)^2+$E$9/(1+$C28)^3+($E$9*(1+F$27)/($C28-F$27))/(1+$C28)^3-$C$18)*100000000/($C$20*1000000)</f>
        <v/>
      </c>
      <c r="G28" s="29">
        <f>($C$9/(1+$C28)^1+$D$9/(1+$C28)^2+$E$9/(1+$C28)^3+($E$9*(1+G$27)/($C28-G$27))/(1+$C28)^3-$C$18)*100000000/($C$20*1000000)</f>
        <v/>
      </c>
      <c r="H28" s="29">
        <f>($C$9/(1+$C28)^1+$D$9/(1+$C28)^2+$E$9/(1+$C28)^3+($E$9*(1+H$27)/($C28-H$27))/(1+$C28)^3-$C$18)*100000000/($C$20*1000000)</f>
        <v/>
      </c>
    </row>
    <row r="29">
      <c r="C29" s="28" t="n">
        <v>0.08500000000000001</v>
      </c>
      <c r="D29" s="29">
        <f>($C$9/(1+$C29)^1+$D$9/(1+$C29)^2+$E$9/(1+$C29)^3+($E$9*(1+D$27)/($C29-D$27))/(1+$C29)^3-$C$18)*100000000/($C$20*1000000)</f>
        <v/>
      </c>
      <c r="E29" s="29">
        <f>($C$9/(1+$C29)^1+$D$9/(1+$C29)^2+$E$9/(1+$C29)^3+($E$9*(1+E$27)/($C29-E$27))/(1+$C29)^3-$C$18)*100000000/($C$20*1000000)</f>
        <v/>
      </c>
      <c r="F29" s="29">
        <f>($C$9/(1+$C29)^1+$D$9/(1+$C29)^2+$E$9/(1+$C29)^3+($E$9*(1+F$27)/($C29-F$27))/(1+$C29)^3-$C$18)*100000000/($C$20*1000000)</f>
        <v/>
      </c>
      <c r="G29" s="29">
        <f>($C$9/(1+$C29)^1+$D$9/(1+$C29)^2+$E$9/(1+$C29)^3+($E$9*(1+G$27)/($C29-G$27))/(1+$C29)^3-$C$18)*100000000/($C$20*1000000)</f>
        <v/>
      </c>
      <c r="H29" s="29">
        <f>($C$9/(1+$C29)^1+$D$9/(1+$C29)^2+$E$9/(1+$C29)^3+($E$9*(1+H$27)/($C29-H$27))/(1+$C29)^3-$C$18)*100000000/($C$20*1000000)</f>
        <v/>
      </c>
    </row>
    <row r="30">
      <c r="C30" s="28" t="n">
        <v>0.09</v>
      </c>
      <c r="D30" s="29">
        <f>($C$9/(1+$C30)^1+$D$9/(1+$C30)^2+$E$9/(1+$C30)^3+($E$9*(1+D$27)/($C30-D$27))/(1+$C30)^3-$C$18)*100000000/($C$20*1000000)</f>
        <v/>
      </c>
      <c r="E30" s="29">
        <f>($C$9/(1+$C30)^1+$D$9/(1+$C30)^2+$E$9/(1+$C30)^3+($E$9*(1+E$27)/($C30-E$27))/(1+$C30)^3-$C$18)*100000000/($C$20*1000000)</f>
        <v/>
      </c>
      <c r="F30" s="29">
        <f>($C$9/(1+$C30)^1+$D$9/(1+$C30)^2+$E$9/(1+$C30)^3+($E$9*(1+F$27)/($C30-F$27))/(1+$C30)^3-$C$18)*100000000/($C$20*1000000)</f>
        <v/>
      </c>
      <c r="G30" s="29">
        <f>($C$9/(1+$C30)^1+$D$9/(1+$C30)^2+$E$9/(1+$C30)^3+($E$9*(1+G$27)/($C30-G$27))/(1+$C30)^3-$C$18)*100000000/($C$20*1000000)</f>
        <v/>
      </c>
      <c r="H30" s="29">
        <f>($C$9/(1+$C30)^1+$D$9/(1+$C30)^2+$E$9/(1+$C30)^3+($E$9*(1+H$27)/($C30-H$27))/(1+$C30)^3-$C$18)*100000000/($C$20*1000000)</f>
        <v/>
      </c>
    </row>
    <row r="31">
      <c r="C31" s="28" t="n">
        <v>0.095</v>
      </c>
      <c r="D31" s="29">
        <f>($C$9/(1+$C31)^1+$D$9/(1+$C31)^2+$E$9/(1+$C31)^3+($E$9*(1+D$27)/($C31-D$27))/(1+$C31)^3-$C$18)*100000000/($C$20*1000000)</f>
        <v/>
      </c>
      <c r="E31" s="29">
        <f>($C$9/(1+$C31)^1+$D$9/(1+$C31)^2+$E$9/(1+$C31)^3+($E$9*(1+E$27)/($C31-E$27))/(1+$C31)^3-$C$18)*100000000/($C$20*1000000)</f>
        <v/>
      </c>
      <c r="F31" s="29">
        <f>($C$9/(1+$C31)^1+$D$9/(1+$C31)^2+$E$9/(1+$C31)^3+($E$9*(1+F$27)/($C31-F$27))/(1+$C31)^3-$C$18)*100000000/($C$20*1000000)</f>
        <v/>
      </c>
      <c r="G31" s="29">
        <f>($C$9/(1+$C31)^1+$D$9/(1+$C31)^2+$E$9/(1+$C31)^3+($E$9*(1+G$27)/($C31-G$27))/(1+$C31)^3-$C$18)*100000000/($C$20*1000000)</f>
        <v/>
      </c>
      <c r="H31" s="29">
        <f>($C$9/(1+$C31)^1+$D$9/(1+$C31)^2+$E$9/(1+$C31)^3+($E$9*(1+H$27)/($C31-H$27))/(1+$C31)^3-$C$18)*100000000/($C$20*1000000)</f>
        <v/>
      </c>
    </row>
    <row r="32">
      <c r="C32" s="28" t="n">
        <v>0.1</v>
      </c>
      <c r="D32" s="29">
        <f>($C$9/(1+$C32)^1+$D$9/(1+$C32)^2+$E$9/(1+$C32)^3+($E$9*(1+D$27)/($C32-D$27))/(1+$C32)^3-$C$18)*100000000/($C$20*1000000)</f>
        <v/>
      </c>
      <c r="E32" s="29">
        <f>($C$9/(1+$C32)^1+$D$9/(1+$C32)^2+$E$9/(1+$C32)^3+($E$9*(1+E$27)/($C32-E$27))/(1+$C32)^3-$C$18)*100000000/($C$20*1000000)</f>
        <v/>
      </c>
      <c r="F32" s="29">
        <f>($C$9/(1+$C32)^1+$D$9/(1+$C32)^2+$E$9/(1+$C32)^3+($E$9*(1+F$27)/($C32-F$27))/(1+$C32)^3-$C$18)*100000000/($C$20*1000000)</f>
        <v/>
      </c>
      <c r="G32" s="29">
        <f>($C$9/(1+$C32)^1+$D$9/(1+$C32)^2+$E$9/(1+$C32)^3+($E$9*(1+G$27)/($C32-G$27))/(1+$C32)^3-$C$18)*100000000/($C$20*1000000)</f>
        <v/>
      </c>
      <c r="H32" s="29">
        <f>($C$9/(1+$C32)^1+$D$9/(1+$C32)^2+$E$9/(1+$C32)^3+($E$9*(1+H$27)/($C32-H$27))/(1+$C32)^3-$C$18)*100000000/($C$20*1000000)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2026-07-09T04:30:56Z</dcterms:created>
  <dcterms:modified xmlns:dcterms="http://purl.org/dc/terms/" xmlns:xsi="http://www.w3.org/2001/XMLSchema-instance" xsi:type="dcterms:W3CDTF">2026-07-09T04:30:56Z</dcterms:modified>
</cp:coreProperties>
</file>