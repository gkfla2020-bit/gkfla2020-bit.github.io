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가정" sheetId="2" state="visible" r:id="rId2"/>
    <sheet name="IS" sheetId="3" state="visible" r:id="rId3"/>
    <sheet name="BS" sheetId="4" state="visible" r:id="rId4"/>
    <sheet name="CF" sheetId="5" state="visible" r:id="rId5"/>
    <sheet name="Ratios" sheetId="6" state="visible" r:id="rId6"/>
    <sheet name="DCF" sheetId="7" state="visible" r:id="rId7"/>
    <sheet name="Output" sheetId="8" state="visible" r:id="rId8"/>
  </sheets>
  <definedNames>
    <definedName name="SCN">가정!$E$1</definedName>
    <definedName name="WACC">가정!$C$15</definedName>
    <definedName name="TermG">가정!$C$16</definedName>
    <definedName name="TaxRate">가정!$C$7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원&quot;"/>
    <numFmt numFmtId="165" formatCode="0.0%"/>
    <numFmt numFmtId="166" formatCode="#,##0;(#,##0);&quot;-&quot;"/>
    <numFmt numFmtId="167" formatCode="0.0&quot;x&quot;"/>
    <numFmt numFmtId="168" formatCode="0.000"/>
  </numFmts>
  <fonts count="20">
    <font>
      <name val="Calibri"/>
      <family val="2"/>
      <color theme="1"/>
      <sz val="11"/>
      <scheme val="minor"/>
    </font>
    <font>
      <name val="Arial"/>
      <b val="1"/>
      <color rgb="FF1E4F38"/>
      <sz val="18"/>
    </font>
    <font>
      <name val="Arial"/>
      <i val="1"/>
      <color rgb="FF888888"/>
      <sz val="10"/>
    </font>
    <font>
      <name val="Arial"/>
      <b val="1"/>
      <color rgb="FF000000"/>
      <sz val="10"/>
    </font>
    <font>
      <name val="Arial"/>
      <b val="1"/>
      <color rgb="FF0000FF"/>
      <sz val="10"/>
    </font>
    <font>
      <name val="Arial"/>
      <i val="1"/>
      <color rgb="FF888888"/>
      <sz val="9"/>
    </font>
    <font>
      <name val="Arial"/>
      <b val="1"/>
      <color rgb="FF1E4F38"/>
      <sz val="12"/>
    </font>
    <font>
      <name val="Arial"/>
      <color rgb="FF2563EB"/>
      <sz val="10"/>
    </font>
    <font>
      <name val="Arial"/>
      <color rgb="FF2563EB"/>
      <u val="single"/>
    </font>
    <font>
      <name val="Arial"/>
      <color rgb="FF000000"/>
      <sz val="10"/>
    </font>
    <font>
      <name val="Arial"/>
      <color rgb="FF008000"/>
      <sz val="10"/>
    </font>
    <font>
      <name val="Arial"/>
      <b val="1"/>
      <color rgb="FF008000"/>
      <sz val="10"/>
    </font>
    <font>
      <name val="Arial"/>
      <b val="1"/>
      <color rgb="FF1E4F38"/>
      <sz val="13"/>
    </font>
    <font>
      <name val="Arial"/>
      <b val="1"/>
      <color rgb="FFFFFFFF"/>
      <sz val="10"/>
    </font>
    <font>
      <name val="Arial"/>
      <color rgb="FF0000FF"/>
      <sz val="10"/>
    </font>
    <font>
      <name val="Arial"/>
      <i val="1"/>
      <color rgb="FF000000"/>
      <sz val="9"/>
    </font>
    <font>
      <name val="Arial"/>
      <b val="1"/>
      <color rgb="FF1E4F38"/>
      <sz val="10"/>
    </font>
    <font>
      <name val="Arial"/>
      <b val="1"/>
      <color rgb="FF000000"/>
      <sz val="9"/>
    </font>
    <font>
      <name val="Arial"/>
      <b val="1"/>
      <color rgb="FF1E4F38"/>
      <sz val="14"/>
    </font>
    <font>
      <name val="Arial"/>
      <i val="1"/>
      <color rgb="FFC0392B"/>
      <sz val="9"/>
    </font>
  </fonts>
  <fills count="5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E4F38"/>
      </patternFill>
    </fill>
    <fill>
      <patternFill patternType="solid">
        <fgColor rgb="FF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165" fontId="14" fillId="2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right" vertical="center"/>
    </xf>
    <xf numFmtId="1" fontId="14" fillId="2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3" fontId="14" fillId="2" borderId="0" applyAlignment="1" pivotButton="0" quotePrefix="0" xfId="0">
      <alignment horizontal="center" vertical="center"/>
    </xf>
    <xf numFmtId="3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10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14" fillId="2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</cellXfs>
  <cellStyles count="1">
    <cellStyle name="Normal" xfId="0" builtinId="0" hidden="0"/>
  </cellStyles>
  <dxfs count="1">
    <dxf>
      <font>
        <name val="Arial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매출 &amp; 영업이익 (억원)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'IS'!$C$3:$H$3</f>
            </numRef>
          </cat>
          <val>
            <numRef>
              <f>'IS'!$C$4:$H$4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'IS'!$C$3:$H$3</f>
            </numRef>
          </cat>
          <val>
            <numRef>
              <f>'IS'!$C$8:$H$8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영업이익률 (%)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'IS'!$C$3:$H$3</f>
            </numRef>
          </cat>
          <val>
            <numRef>
              <f>'IS'!$C$15:$H$15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44032;&#51221;!A1" TargetMode="External" Id="rId1" /><Relationship Type="http://schemas.openxmlformats.org/officeDocument/2006/relationships/hyperlink" Target="#IS!A1" TargetMode="External" Id="rId2" /><Relationship Type="http://schemas.openxmlformats.org/officeDocument/2006/relationships/hyperlink" Target="#BS!A1" TargetMode="External" Id="rId3" /><Relationship Type="http://schemas.openxmlformats.org/officeDocument/2006/relationships/hyperlink" Target="#CF!A1" TargetMode="External" Id="rId4" /><Relationship Type="http://schemas.openxmlformats.org/officeDocument/2006/relationships/hyperlink" Target="#Ratios!A1" TargetMode="External" Id="rId5" /><Relationship Type="http://schemas.openxmlformats.org/officeDocument/2006/relationships/hyperlink" Target="#DCF!A1" TargetMode="External" Id="rId6" /><Relationship Type="http://schemas.openxmlformats.org/officeDocument/2006/relationships/hyperlink" Target="#Output!A1" TargetMode="External" Id="rId7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4F38"/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20" customWidth="1" min="5" max="5"/>
    <col width="14" customWidth="1" min="7" max="7"/>
  </cols>
  <sheetData>
    <row r="2">
      <c r="B2" s="1" t="inlineStr">
        <is>
          <t>3-STATEMENT FINANCIAL MODEL</t>
        </is>
      </c>
    </row>
    <row r="3">
      <c r="B3" s="2" t="inlineStr">
        <is>
          <t>가상 제조업 · Initiation Model (교육용)</t>
        </is>
      </c>
    </row>
    <row r="5">
      <c r="B5" s="3" t="inlineStr">
        <is>
          <t>시나리오 선택 →</t>
        </is>
      </c>
      <c r="C5" s="4" t="n">
        <v>1</v>
      </c>
      <c r="D5" s="5" t="inlineStr">
        <is>
          <t>1=Base · 2=Bull · 3=Bear</t>
        </is>
      </c>
    </row>
    <row r="7">
      <c r="B7" s="6" t="inlineStr">
        <is>
          <t>목  차</t>
        </is>
      </c>
      <c r="E7" s="6" t="inlineStr">
        <is>
          <t>핵심 결과 (활성 시나리오)</t>
        </is>
      </c>
    </row>
    <row r="8">
      <c r="B8" s="7" t="inlineStr">
        <is>
          <t>① 가정 &amp; 시나리오</t>
        </is>
      </c>
      <c r="E8" s="8" t="inlineStr">
        <is>
          <t>시나리오</t>
        </is>
      </c>
      <c r="G8" s="9">
        <f>Output!C4</f>
        <v/>
      </c>
    </row>
    <row r="9">
      <c r="B9" s="7" t="inlineStr">
        <is>
          <t>② 손익계산서 (IS)</t>
        </is>
      </c>
      <c r="E9" s="8" t="inlineStr">
        <is>
          <t>목표주가</t>
        </is>
      </c>
      <c r="G9" s="10">
        <f>Output!C7</f>
        <v/>
      </c>
    </row>
    <row r="10">
      <c r="B10" s="7" t="inlineStr">
        <is>
          <t>③ 재무상태표 (BS)</t>
        </is>
      </c>
      <c r="E10" s="8" t="inlineStr">
        <is>
          <t>현재주가</t>
        </is>
      </c>
      <c r="G10" s="11">
        <f>Output!C8</f>
        <v/>
      </c>
    </row>
    <row r="11">
      <c r="B11" s="7" t="inlineStr">
        <is>
          <t>④ 현금흐름표 (CF)</t>
        </is>
      </c>
      <c r="E11" s="8" t="inlineStr">
        <is>
          <t>상승여력</t>
        </is>
      </c>
      <c r="G11" s="12">
        <f>Output!C9</f>
        <v/>
      </c>
    </row>
    <row r="12">
      <c r="B12" s="7" t="inlineStr">
        <is>
          <t>⑤ 재무비율 대시보드</t>
        </is>
      </c>
      <c r="E12" s="8" t="inlineStr">
        <is>
          <t>투자의견</t>
        </is>
      </c>
      <c r="G12" s="13">
        <f>Output!C10</f>
        <v/>
      </c>
    </row>
    <row r="13">
      <c r="B13" s="7" t="inlineStr">
        <is>
          <t>⑥ DCF 밸류에이션</t>
        </is>
      </c>
    </row>
    <row r="14">
      <c r="B14" s="7" t="inlineStr">
        <is>
          <t>⑦ 투자 요약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B1:G1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B1" s="14" t="inlineStr">
        <is>
          <t>가정 &amp; 시나리오 (Assumptions)</t>
        </is>
      </c>
      <c r="D1" s="15" t="inlineStr">
        <is>
          <t>시나리오</t>
        </is>
      </c>
      <c r="E1" s="4" t="n">
        <v>1</v>
      </c>
      <c r="F1" s="5" t="inlineStr">
        <is>
          <t>1=Base 2=Bull 3=Bear</t>
        </is>
      </c>
    </row>
    <row r="2">
      <c r="B2" s="5" t="inlineStr">
        <is>
          <t>파랑=입력 · 활성값(C열)=CHOOSE로 시나리오 전환 · 단위: 억원</t>
        </is>
      </c>
    </row>
    <row r="3">
      <c r="B3" s="16" t="inlineStr">
        <is>
          <t>항목</t>
        </is>
      </c>
      <c r="C3" s="17" t="inlineStr">
        <is>
          <t>활성값</t>
        </is>
      </c>
      <c r="D3" s="17" t="inlineStr">
        <is>
          <t>①Base</t>
        </is>
      </c>
      <c r="E3" s="17" t="inlineStr">
        <is>
          <t>②Bull</t>
        </is>
      </c>
      <c r="F3" s="17" t="inlineStr">
        <is>
          <t>③Bear</t>
        </is>
      </c>
      <c r="G3" s="16" t="inlineStr">
        <is>
          <t>비고</t>
        </is>
      </c>
    </row>
    <row r="4">
      <c r="B4" s="8" t="inlineStr">
        <is>
          <t>매출성장률 (추정)</t>
        </is>
      </c>
      <c r="C4" s="18">
        <f>CHOOSE($E$1,D4,E4,F4)</f>
        <v/>
      </c>
      <c r="D4" s="19" t="n">
        <v>0.07000000000000001</v>
      </c>
      <c r="E4" s="20" t="n">
        <v>0.1</v>
      </c>
      <c r="F4" s="20" t="n">
        <v>0.04</v>
      </c>
      <c r="G4" s="5" t="inlineStr">
        <is>
          <t>YoY</t>
        </is>
      </c>
    </row>
    <row r="5">
      <c r="B5" s="8" t="inlineStr">
        <is>
          <t>매출원가율</t>
        </is>
      </c>
      <c r="C5" s="18">
        <f>CHOOSE($E$1,D5,E5,F5)</f>
        <v/>
      </c>
      <c r="D5" s="19" t="n">
        <v>0.62</v>
      </c>
      <c r="E5" s="20" t="n">
        <v>0.6</v>
      </c>
      <c r="F5" s="20" t="n">
        <v>0.65</v>
      </c>
      <c r="G5" s="5" t="inlineStr"/>
    </row>
    <row r="6">
      <c r="B6" s="8" t="inlineStr">
        <is>
          <t>판매관리비율</t>
        </is>
      </c>
      <c r="C6" s="18">
        <f>CHOOSE($E$1,D6,E6,F6)</f>
        <v/>
      </c>
      <c r="D6" s="19" t="n">
        <v>0.2</v>
      </c>
      <c r="E6" s="20" t="n">
        <v>0.19</v>
      </c>
      <c r="F6" s="20" t="n">
        <v>0.22</v>
      </c>
      <c r="G6" s="5" t="inlineStr"/>
    </row>
    <row r="7">
      <c r="B7" s="8" t="inlineStr">
        <is>
          <t>법인세율</t>
        </is>
      </c>
      <c r="C7" s="18">
        <f>CHOOSE($E$1,D7,E7,F7)</f>
        <v/>
      </c>
      <c r="D7" s="19" t="n">
        <v>0.22</v>
      </c>
      <c r="E7" s="20" t="n">
        <v>0.22</v>
      </c>
      <c r="F7" s="20" t="n">
        <v>0.22</v>
      </c>
      <c r="G7" s="5" t="inlineStr"/>
    </row>
    <row r="8">
      <c r="B8" s="8" t="inlineStr">
        <is>
          <t>Capex / 매출</t>
        </is>
      </c>
      <c r="C8" s="18">
        <f>CHOOSE($E$1,D8,E8,F8)</f>
        <v/>
      </c>
      <c r="D8" s="19" t="n">
        <v>0.05</v>
      </c>
      <c r="E8" s="20" t="n">
        <v>0.05</v>
      </c>
      <c r="F8" s="20" t="n">
        <v>0.06</v>
      </c>
      <c r="G8" s="5" t="inlineStr"/>
    </row>
    <row r="9">
      <c r="B9" s="8" t="inlineStr">
        <is>
          <t>감가상각률</t>
        </is>
      </c>
      <c r="C9" s="18">
        <f>CHOOSE($E$1,D9,E9,F9)</f>
        <v/>
      </c>
      <c r="D9" s="19" t="n">
        <v>0.1</v>
      </c>
      <c r="E9" s="20" t="n">
        <v>0.1</v>
      </c>
      <c r="F9" s="20" t="n">
        <v>0.1</v>
      </c>
      <c r="G9" s="5" t="inlineStr">
        <is>
          <t>기초 유형자산 대비</t>
        </is>
      </c>
    </row>
    <row r="10">
      <c r="B10" s="8" t="inlineStr">
        <is>
          <t>매출채권 DSO(일)</t>
        </is>
      </c>
      <c r="C10" s="21">
        <f>CHOOSE($E$1,D10,E10,F10)</f>
        <v/>
      </c>
      <c r="D10" s="22" t="n">
        <v>45</v>
      </c>
      <c r="E10" s="23" t="n">
        <v>40</v>
      </c>
      <c r="F10" s="23" t="n">
        <v>55</v>
      </c>
      <c r="G10" s="5" t="inlineStr"/>
    </row>
    <row r="11">
      <c r="B11" s="8" t="inlineStr">
        <is>
          <t>재고자산 DIO(일)</t>
        </is>
      </c>
      <c r="C11" s="21">
        <f>CHOOSE($E$1,D11,E11,F11)</f>
        <v/>
      </c>
      <c r="D11" s="22" t="n">
        <v>60</v>
      </c>
      <c r="E11" s="23" t="n">
        <v>55</v>
      </c>
      <c r="F11" s="23" t="n">
        <v>70</v>
      </c>
      <c r="G11" s="5" t="inlineStr"/>
    </row>
    <row r="12">
      <c r="B12" s="8" t="inlineStr">
        <is>
          <t>매입채무 DPO(일)</t>
        </is>
      </c>
      <c r="C12" s="21">
        <f>CHOOSE($E$1,D12,E12,F12)</f>
        <v/>
      </c>
      <c r="D12" s="22" t="n">
        <v>40</v>
      </c>
      <c r="E12" s="23" t="n">
        <v>45</v>
      </c>
      <c r="F12" s="23" t="n">
        <v>35</v>
      </c>
      <c r="G12" s="5" t="inlineStr"/>
    </row>
    <row r="13">
      <c r="B13" s="8" t="inlineStr">
        <is>
          <t>배당성향</t>
        </is>
      </c>
      <c r="C13" s="18">
        <f>CHOOSE($E$1,D13,E13,F13)</f>
        <v/>
      </c>
      <c r="D13" s="19" t="n">
        <v>0.2</v>
      </c>
      <c r="E13" s="20" t="n">
        <v>0.2</v>
      </c>
      <c r="F13" s="20" t="n">
        <v>0.15</v>
      </c>
      <c r="G13" s="5" t="inlineStr"/>
    </row>
    <row r="14">
      <c r="B14" s="8" t="inlineStr">
        <is>
          <t>차입금 이자율</t>
        </is>
      </c>
      <c r="C14" s="18">
        <f>CHOOSE($E$1,D14,E14,F14)</f>
        <v/>
      </c>
      <c r="D14" s="19" t="n">
        <v>0.045</v>
      </c>
      <c r="E14" s="20" t="n">
        <v>0.04</v>
      </c>
      <c r="F14" s="20" t="n">
        <v>0.055</v>
      </c>
      <c r="G14" s="5" t="inlineStr"/>
    </row>
    <row r="15">
      <c r="B15" s="8" t="inlineStr">
        <is>
          <t>WACC</t>
        </is>
      </c>
      <c r="C15" s="18">
        <f>CHOOSE($E$1,D15,E15,F15)</f>
        <v/>
      </c>
      <c r="D15" s="19" t="n">
        <v>0.09</v>
      </c>
      <c r="E15" s="20" t="n">
        <v>0.08500000000000001</v>
      </c>
      <c r="F15" s="20" t="n">
        <v>0.1</v>
      </c>
      <c r="G15" s="5" t="inlineStr"/>
    </row>
    <row r="16">
      <c r="B16" s="8" t="inlineStr">
        <is>
          <t>영구성장률 g</t>
        </is>
      </c>
      <c r="C16" s="18">
        <f>CHOOSE($E$1,D16,E16,F16)</f>
        <v/>
      </c>
      <c r="D16" s="19" t="n">
        <v>0.02</v>
      </c>
      <c r="E16" s="20" t="n">
        <v>0.025</v>
      </c>
      <c r="F16" s="20" t="n">
        <v>0.015</v>
      </c>
      <c r="G16" s="5" t="inlineStr">
        <is>
          <t>&lt; WACC</t>
        </is>
      </c>
    </row>
    <row r="17">
      <c r="B17" s="8" t="inlineStr">
        <is>
          <t>주식수(백만주)</t>
        </is>
      </c>
      <c r="C17" s="24">
        <f>CHOOSE($E$1,D17,E17,F17)</f>
        <v/>
      </c>
      <c r="D17" s="25" t="n">
        <v>50</v>
      </c>
      <c r="E17" s="26" t="n">
        <v>50</v>
      </c>
      <c r="F17" s="26" t="n">
        <v>50</v>
      </c>
      <c r="G17" s="5" t="inlineStr"/>
    </row>
  </sheetData>
  <dataValidations count="1">
    <dataValidation sqref="E1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7346"/>
    <outlinePr summaryBelow="1" summaryRight="1"/>
    <pageSetUpPr/>
  </sheetPr>
  <dimension ref="B1:H1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4" t="inlineStr">
        <is>
          <t>손익계산서 (Income Statement)</t>
        </is>
      </c>
    </row>
    <row r="2">
      <c r="B2" s="5" t="inlineStr">
        <is>
          <t>단위: 억원</t>
        </is>
      </c>
    </row>
    <row r="3">
      <c r="B3" s="16" t="inlineStr">
        <is>
          <t>항목</t>
        </is>
      </c>
      <c r="C3" s="17" t="inlineStr">
        <is>
          <t>2022A</t>
        </is>
      </c>
      <c r="D3" s="17" t="inlineStr">
        <is>
          <t>2023A</t>
        </is>
      </c>
      <c r="E3" s="17" t="inlineStr">
        <is>
          <t>2024A</t>
        </is>
      </c>
      <c r="F3" s="17" t="inlineStr">
        <is>
          <t>2025E</t>
        </is>
      </c>
      <c r="G3" s="17" t="inlineStr">
        <is>
          <t>2026E</t>
        </is>
      </c>
      <c r="H3" s="17" t="inlineStr">
        <is>
          <t>2027E</t>
        </is>
      </c>
    </row>
    <row r="4">
      <c r="B4" s="3" t="inlineStr">
        <is>
          <t>매출액</t>
        </is>
      </c>
      <c r="C4" s="27" t="n">
        <v>1000</v>
      </c>
      <c r="D4" s="27" t="n">
        <v>1120</v>
      </c>
      <c r="E4" s="27" t="n">
        <v>1230</v>
      </c>
      <c r="F4" s="28" t="n"/>
      <c r="G4" s="28" t="n"/>
      <c r="H4" s="28" t="n"/>
    </row>
    <row r="5">
      <c r="B5" s="8" t="inlineStr">
        <is>
          <t>(-) 매출원가</t>
        </is>
      </c>
      <c r="C5" s="27" t="n">
        <v>620</v>
      </c>
      <c r="D5" s="27" t="n">
        <v>694</v>
      </c>
      <c r="E5" s="27" t="n">
        <v>763</v>
      </c>
      <c r="F5" s="29" t="n"/>
      <c r="G5" s="29" t="n"/>
      <c r="H5" s="29" t="n"/>
    </row>
    <row r="6">
      <c r="B6" s="3" t="inlineStr">
        <is>
          <t>매출총이익</t>
        </is>
      </c>
      <c r="C6" s="30">
        <f>C4-C5</f>
        <v/>
      </c>
      <c r="D6" s="30">
        <f>D4-D5</f>
        <v/>
      </c>
      <c r="E6" s="30">
        <f>E4-E5</f>
        <v/>
      </c>
      <c r="F6" s="30" t="n"/>
      <c r="G6" s="30" t="n"/>
      <c r="H6" s="30" t="n"/>
    </row>
    <row r="7">
      <c r="B7" s="8" t="inlineStr">
        <is>
          <t>(-) 판매관리비</t>
        </is>
      </c>
      <c r="C7" s="27" t="n">
        <v>200</v>
      </c>
      <c r="D7" s="27" t="n">
        <v>224</v>
      </c>
      <c r="E7" s="27" t="n">
        <v>246</v>
      </c>
      <c r="F7" s="29" t="n"/>
      <c r="G7" s="29" t="n"/>
      <c r="H7" s="29" t="n"/>
    </row>
    <row r="8">
      <c r="B8" s="3" t="inlineStr">
        <is>
          <t>영업이익 (EBIT)</t>
        </is>
      </c>
      <c r="C8" s="30">
        <f>C6-C7</f>
        <v/>
      </c>
      <c r="D8" s="30">
        <f>D6-D7</f>
        <v/>
      </c>
      <c r="E8" s="30">
        <f>E6-E7</f>
        <v/>
      </c>
      <c r="F8" s="30" t="n"/>
      <c r="G8" s="30" t="n"/>
      <c r="H8" s="30" t="n"/>
    </row>
    <row r="9">
      <c r="B9" s="8" t="inlineStr">
        <is>
          <t>(-) 이자비용</t>
        </is>
      </c>
      <c r="C9" s="27" t="n">
        <v>18</v>
      </c>
      <c r="D9" s="27" t="n">
        <v>19</v>
      </c>
      <c r="E9" s="27" t="n">
        <v>20</v>
      </c>
      <c r="F9" s="29" t="n"/>
      <c r="G9" s="29" t="n"/>
      <c r="H9" s="29" t="n"/>
    </row>
    <row r="10">
      <c r="B10" s="8" t="inlineStr">
        <is>
          <t>세전이익</t>
        </is>
      </c>
      <c r="C10" s="31">
        <f>C8-C9</f>
        <v/>
      </c>
      <c r="D10" s="31">
        <f>D8-D9</f>
        <v/>
      </c>
      <c r="E10" s="31">
        <f>E8-E9</f>
        <v/>
      </c>
      <c r="F10" s="31" t="n"/>
      <c r="G10" s="31" t="n"/>
      <c r="H10" s="31" t="n"/>
    </row>
    <row r="11">
      <c r="B11" s="8" t="inlineStr">
        <is>
          <t>(-) 법인세</t>
        </is>
      </c>
      <c r="C11" s="27" t="n">
        <v>36</v>
      </c>
      <c r="D11" s="27" t="n">
        <v>40</v>
      </c>
      <c r="E11" s="27" t="n">
        <v>44</v>
      </c>
      <c r="F11" s="29" t="n"/>
      <c r="G11" s="29" t="n"/>
      <c r="H11" s="29" t="n"/>
    </row>
    <row r="12">
      <c r="B12" s="3" t="inlineStr">
        <is>
          <t>당기순이익</t>
        </is>
      </c>
      <c r="C12" s="30">
        <f>C10-C11</f>
        <v/>
      </c>
      <c r="D12" s="30">
        <f>D10-D11</f>
        <v/>
      </c>
      <c r="E12" s="30">
        <f>E10-E11</f>
        <v/>
      </c>
      <c r="F12" s="30" t="n"/>
      <c r="G12" s="30" t="n"/>
      <c r="H12" s="30" t="n"/>
    </row>
    <row r="14">
      <c r="B14" s="32" t="inlineStr">
        <is>
          <t>매출성장률</t>
        </is>
      </c>
      <c r="D14" s="33">
        <f>IFERROR(D4/C4-1,"-")</f>
        <v/>
      </c>
      <c r="E14" s="33">
        <f>IFERROR(E4/D4-1,"-")</f>
        <v/>
      </c>
      <c r="F14" s="33" t="n"/>
      <c r="G14" s="33" t="n"/>
      <c r="H14" s="33" t="n"/>
    </row>
    <row r="15">
      <c r="B15" s="32" t="inlineStr">
        <is>
          <t>영업이익률</t>
        </is>
      </c>
      <c r="C15" s="33">
        <f>IFERROR(C8/C4,"-")</f>
        <v/>
      </c>
      <c r="D15" s="33">
        <f>IFERROR(D8/D4,"-")</f>
        <v/>
      </c>
      <c r="E15" s="33">
        <f>IFERROR(E8/E4,"-")</f>
        <v/>
      </c>
      <c r="F15" s="33" t="n"/>
      <c r="G15" s="33" t="n"/>
      <c r="H15" s="33" t="n"/>
    </row>
    <row r="17">
      <c r="B17" s="50" t="inlineStr">
        <is>
          <t>↑ 추정연도(2025~2027)가 비어 있습니다 — R4를 보며 직접 채우세요.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7346"/>
    <outlinePr summaryBelow="1" summaryRight="1"/>
    <pageSetUpPr/>
  </sheetPr>
  <dimension ref="B1:H2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4" t="inlineStr">
        <is>
          <t>재무상태표 (Balance Sheet)</t>
        </is>
      </c>
    </row>
    <row r="2">
      <c r="B2" s="5" t="inlineStr">
        <is>
          <t>단위: 억원</t>
        </is>
      </c>
    </row>
    <row r="3">
      <c r="B3" s="16" t="inlineStr">
        <is>
          <t>항목</t>
        </is>
      </c>
      <c r="C3" s="17" t="inlineStr">
        <is>
          <t>2022A</t>
        </is>
      </c>
      <c r="D3" s="17" t="inlineStr">
        <is>
          <t>2023A</t>
        </is>
      </c>
      <c r="E3" s="17" t="inlineStr">
        <is>
          <t>2024A</t>
        </is>
      </c>
      <c r="F3" s="17" t="inlineStr">
        <is>
          <t>2025E</t>
        </is>
      </c>
      <c r="G3" s="17" t="inlineStr">
        <is>
          <t>2026E</t>
        </is>
      </c>
      <c r="H3" s="17" t="inlineStr">
        <is>
          <t>2027E</t>
        </is>
      </c>
    </row>
    <row r="5">
      <c r="B5" s="34" t="inlineStr">
        <is>
          <t>[ 자산 ]</t>
        </is>
      </c>
    </row>
    <row r="6">
      <c r="B6" s="8" t="inlineStr">
        <is>
          <t>현금및현금성자산</t>
        </is>
      </c>
      <c r="C6" s="27" t="n">
        <v>344</v>
      </c>
      <c r="D6" s="27" t="n">
        <v>419</v>
      </c>
      <c r="E6" s="27" t="n">
        <v>508</v>
      </c>
      <c r="F6" s="29" t="n"/>
      <c r="G6" s="29" t="n"/>
      <c r="H6" s="29" t="n"/>
    </row>
    <row r="7">
      <c r="B7" s="8" t="inlineStr">
        <is>
          <t>매출채권</t>
        </is>
      </c>
      <c r="C7" s="27" t="n">
        <v>123</v>
      </c>
      <c r="D7" s="27" t="n">
        <v>138</v>
      </c>
      <c r="E7" s="27" t="n">
        <v>152</v>
      </c>
      <c r="F7" s="29" t="n"/>
      <c r="G7" s="29" t="n"/>
      <c r="H7" s="29" t="n"/>
    </row>
    <row r="8">
      <c r="B8" s="8" t="inlineStr">
        <is>
          <t>재고자산</t>
        </is>
      </c>
      <c r="C8" s="27" t="n">
        <v>102</v>
      </c>
      <c r="D8" s="27" t="n">
        <v>114</v>
      </c>
      <c r="E8" s="27" t="n">
        <v>125</v>
      </c>
      <c r="F8" s="29" t="n"/>
      <c r="G8" s="29" t="n"/>
      <c r="H8" s="29" t="n"/>
    </row>
    <row r="9">
      <c r="B9" s="8" t="inlineStr">
        <is>
          <t>유형자산(순)</t>
        </is>
      </c>
      <c r="C9" s="27" t="n">
        <v>500</v>
      </c>
      <c r="D9" s="27" t="n">
        <v>540</v>
      </c>
      <c r="E9" s="27" t="n">
        <v>580</v>
      </c>
      <c r="F9" s="29" t="n"/>
      <c r="G9" s="29" t="n"/>
      <c r="H9" s="29" t="n"/>
    </row>
    <row r="10">
      <c r="B10" s="3" t="inlineStr">
        <is>
          <t>자산총계</t>
        </is>
      </c>
      <c r="C10" s="30">
        <f>SUM(C6:C9)</f>
        <v/>
      </c>
      <c r="D10" s="30">
        <f>SUM(D6:D9)</f>
        <v/>
      </c>
      <c r="E10" s="30">
        <f>SUM(E6:E9)</f>
        <v/>
      </c>
      <c r="F10" s="30">
        <f>SUM(F6:F9)</f>
        <v/>
      </c>
      <c r="G10" s="30">
        <f>SUM(G6:G9)</f>
        <v/>
      </c>
      <c r="H10" s="30">
        <f>SUM(H6:H9)</f>
        <v/>
      </c>
    </row>
    <row r="12">
      <c r="B12" s="34" t="inlineStr">
        <is>
          <t>[ 부채 ]</t>
        </is>
      </c>
    </row>
    <row r="13">
      <c r="B13" s="8" t="inlineStr">
        <is>
          <t>매입채무</t>
        </is>
      </c>
      <c r="C13" s="27" t="n">
        <v>68</v>
      </c>
      <c r="D13" s="27" t="n">
        <v>76</v>
      </c>
      <c r="E13" s="27" t="n">
        <v>84</v>
      </c>
      <c r="F13" s="29" t="n"/>
      <c r="G13" s="29" t="n"/>
      <c r="H13" s="29" t="n"/>
    </row>
    <row r="14">
      <c r="B14" s="8" t="inlineStr">
        <is>
          <t>차입금</t>
        </is>
      </c>
      <c r="C14" s="27" t="n">
        <v>400</v>
      </c>
      <c r="D14" s="27" t="n">
        <v>420</v>
      </c>
      <c r="E14" s="27" t="n">
        <v>440</v>
      </c>
      <c r="F14" s="31" t="n"/>
      <c r="G14" s="31" t="n"/>
      <c r="H14" s="31" t="n"/>
    </row>
    <row r="15">
      <c r="B15" s="3" t="inlineStr">
        <is>
          <t>부채총계</t>
        </is>
      </c>
      <c r="C15" s="30">
        <f>SUM(C13:C14)</f>
        <v/>
      </c>
      <c r="D15" s="30">
        <f>SUM(D13:D14)</f>
        <v/>
      </c>
      <c r="E15" s="30">
        <f>SUM(E13:E14)</f>
        <v/>
      </c>
      <c r="F15" s="30">
        <f>SUM(F13:F14)</f>
        <v/>
      </c>
      <c r="G15" s="30">
        <f>SUM(G13:G14)</f>
        <v/>
      </c>
      <c r="H15" s="30">
        <f>SUM(H13:H14)</f>
        <v/>
      </c>
    </row>
    <row r="17">
      <c r="B17" s="34" t="inlineStr">
        <is>
          <t>[ 자본 ]</t>
        </is>
      </c>
    </row>
    <row r="18">
      <c r="B18" s="8" t="inlineStr">
        <is>
          <t>자본금</t>
        </is>
      </c>
      <c r="C18" s="27" t="n">
        <v>300</v>
      </c>
      <c r="D18" s="27" t="n">
        <v>300</v>
      </c>
      <c r="E18" s="27" t="n">
        <v>300</v>
      </c>
      <c r="F18" s="31" t="n"/>
      <c r="G18" s="31" t="n"/>
      <c r="H18" s="31" t="n"/>
    </row>
    <row r="19">
      <c r="B19" s="8" t="inlineStr">
        <is>
          <t>이익잉여금</t>
        </is>
      </c>
      <c r="C19" s="27" t="n">
        <v>301</v>
      </c>
      <c r="D19" s="27" t="n">
        <v>415</v>
      </c>
      <c r="E19" s="27" t="n">
        <v>541</v>
      </c>
      <c r="F19" s="29" t="n"/>
      <c r="G19" s="29" t="n"/>
      <c r="H19" s="29" t="n"/>
    </row>
    <row r="20">
      <c r="B20" s="3" t="inlineStr">
        <is>
          <t>자본총계</t>
        </is>
      </c>
      <c r="C20" s="30">
        <f>SUM(C18:C19)</f>
        <v/>
      </c>
      <c r="D20" s="30">
        <f>SUM(D18:D19)</f>
        <v/>
      </c>
      <c r="E20" s="30">
        <f>SUM(E18:E19)</f>
        <v/>
      </c>
      <c r="F20" s="30">
        <f>SUM(F18:F19)</f>
        <v/>
      </c>
      <c r="G20" s="30">
        <f>SUM(G18:G19)</f>
        <v/>
      </c>
      <c r="H20" s="30">
        <f>SUM(H18:H19)</f>
        <v/>
      </c>
    </row>
    <row r="21">
      <c r="B21" s="3" t="inlineStr">
        <is>
          <t>부채와자본총계</t>
        </is>
      </c>
      <c r="C21" s="30">
        <f>C15+C20</f>
        <v/>
      </c>
      <c r="D21" s="30">
        <f>D15+D20</f>
        <v/>
      </c>
      <c r="E21" s="30">
        <f>E15+E20</f>
        <v/>
      </c>
      <c r="F21" s="30">
        <f>F15+F20</f>
        <v/>
      </c>
      <c r="G21" s="30">
        <f>G15+G20</f>
        <v/>
      </c>
      <c r="H21" s="30">
        <f>H15+H20</f>
        <v/>
      </c>
    </row>
    <row r="23">
      <c r="B23" s="32" t="inlineStr">
        <is>
          <t>검증 (자산-부채-자본)</t>
        </is>
      </c>
      <c r="C23" s="35">
        <f>C10-C21</f>
        <v/>
      </c>
      <c r="D23" s="35">
        <f>D10-D21</f>
        <v/>
      </c>
      <c r="E23" s="35">
        <f>E10-E21</f>
        <v/>
      </c>
      <c r="F23" s="35">
        <f>F10-F21</f>
        <v/>
      </c>
      <c r="G23" s="35">
        <f>G10-G21</f>
        <v/>
      </c>
      <c r="H23" s="35">
        <f>H10-H21</f>
        <v/>
      </c>
    </row>
    <row r="25">
      <c r="B25" s="50" t="inlineStr">
        <is>
          <t>↑ 추정 라인을 채우면 소계·검증(23행)이 자동 계산됩니다. 검증=0 이면 성공! (R5)</t>
        </is>
      </c>
    </row>
  </sheetData>
  <conditionalFormatting sqref="C23:H23">
    <cfRule type="expression" priority="1" dxfId="0">
      <formula>ABS(C23)&gt;0.5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7346"/>
    <outlinePr summaryBelow="1" summaryRight="1"/>
    <pageSetUpPr/>
  </sheetPr>
  <dimension ref="B1:H2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4" t="inlineStr">
        <is>
          <t>현금흐름표 (Cash Flow, 간접법)</t>
        </is>
      </c>
    </row>
    <row r="2">
      <c r="B2" s="5" t="inlineStr">
        <is>
          <t>단위: 억원 · 추정연도 산출</t>
        </is>
      </c>
    </row>
    <row r="3">
      <c r="B3" s="16" t="inlineStr">
        <is>
          <t>항목</t>
        </is>
      </c>
      <c r="C3" s="17" t="inlineStr">
        <is>
          <t>2022A</t>
        </is>
      </c>
      <c r="D3" s="17" t="inlineStr">
        <is>
          <t>2023A</t>
        </is>
      </c>
      <c r="E3" s="17" t="inlineStr">
        <is>
          <t>2024A</t>
        </is>
      </c>
      <c r="F3" s="17" t="inlineStr">
        <is>
          <t>2025E</t>
        </is>
      </c>
      <c r="G3" s="17" t="inlineStr">
        <is>
          <t>2026E</t>
        </is>
      </c>
      <c r="H3" s="17" t="inlineStr">
        <is>
          <t>2027E</t>
        </is>
      </c>
    </row>
    <row r="5">
      <c r="B5" s="34" t="inlineStr">
        <is>
          <t>[ 영업활동 ]</t>
        </is>
      </c>
    </row>
    <row r="6">
      <c r="B6" s="8" t="inlineStr">
        <is>
          <t>당기순이익</t>
        </is>
      </c>
      <c r="F6" s="29" t="n"/>
      <c r="G6" s="29" t="n"/>
      <c r="H6" s="29" t="n"/>
    </row>
    <row r="7">
      <c r="B7" s="8" t="inlineStr">
        <is>
          <t>(+) 감가상각비</t>
        </is>
      </c>
      <c r="F7" s="29" t="n"/>
      <c r="G7" s="29" t="n"/>
      <c r="H7" s="29" t="n"/>
    </row>
    <row r="8">
      <c r="B8" s="8" t="inlineStr">
        <is>
          <t>(-) 매출채권 증감</t>
        </is>
      </c>
      <c r="F8" s="29" t="n"/>
      <c r="G8" s="29" t="n"/>
      <c r="H8" s="29" t="n"/>
    </row>
    <row r="9">
      <c r="B9" s="8" t="inlineStr">
        <is>
          <t>(-) 재고자산 증감</t>
        </is>
      </c>
      <c r="F9" s="29" t="n"/>
      <c r="G9" s="29" t="n"/>
      <c r="H9" s="29" t="n"/>
    </row>
    <row r="10">
      <c r="B10" s="8" t="inlineStr">
        <is>
          <t>(+) 매입채무 증감</t>
        </is>
      </c>
      <c r="F10" s="29" t="n"/>
      <c r="G10" s="29" t="n"/>
      <c r="H10" s="29" t="n"/>
    </row>
    <row r="11">
      <c r="B11" s="3" t="inlineStr">
        <is>
          <t>영업활동 현금흐름</t>
        </is>
      </c>
      <c r="F11" s="30">
        <f>SUM(F6:F10)</f>
        <v/>
      </c>
      <c r="G11" s="30">
        <f>SUM(G6:G10)</f>
        <v/>
      </c>
      <c r="H11" s="30">
        <f>SUM(H6:H10)</f>
        <v/>
      </c>
    </row>
    <row r="13">
      <c r="B13" s="34" t="inlineStr">
        <is>
          <t>[ 투자활동 ]</t>
        </is>
      </c>
    </row>
    <row r="14">
      <c r="B14" s="8" t="inlineStr">
        <is>
          <t>(-) Capex</t>
        </is>
      </c>
      <c r="F14" s="29" t="n"/>
      <c r="G14" s="29" t="n"/>
      <c r="H14" s="29" t="n"/>
    </row>
    <row r="15">
      <c r="B15" s="3" t="inlineStr">
        <is>
          <t>투자활동 현금흐름</t>
        </is>
      </c>
      <c r="F15" s="30">
        <f>F14</f>
        <v/>
      </c>
      <c r="G15" s="30">
        <f>G14</f>
        <v/>
      </c>
      <c r="H15" s="30">
        <f>H14</f>
        <v/>
      </c>
    </row>
    <row r="17">
      <c r="B17" s="34" t="inlineStr">
        <is>
          <t>[ 재무활동 ]</t>
        </is>
      </c>
    </row>
    <row r="18">
      <c r="B18" s="8" t="inlineStr">
        <is>
          <t>차입금 증감</t>
        </is>
      </c>
      <c r="F18" s="29" t="n"/>
      <c r="G18" s="29" t="n"/>
      <c r="H18" s="29" t="n"/>
    </row>
    <row r="19">
      <c r="B19" s="8" t="inlineStr">
        <is>
          <t>(-) 배당금</t>
        </is>
      </c>
      <c r="F19" s="29" t="n"/>
      <c r="G19" s="29" t="n"/>
      <c r="H19" s="29" t="n"/>
    </row>
    <row r="20">
      <c r="B20" s="3" t="inlineStr">
        <is>
          <t>재무활동 현금흐름</t>
        </is>
      </c>
      <c r="F20" s="30">
        <f>SUM(F18:F19)</f>
        <v/>
      </c>
      <c r="G20" s="30">
        <f>SUM(G18:G19)</f>
        <v/>
      </c>
      <c r="H20" s="30">
        <f>SUM(H18:H19)</f>
        <v/>
      </c>
    </row>
    <row r="22">
      <c r="B22" s="3" t="inlineStr">
        <is>
          <t>순현금흐름</t>
        </is>
      </c>
      <c r="F22" s="30">
        <f>F11+F15+F20</f>
        <v/>
      </c>
      <c r="G22" s="30">
        <f>G11+G15+G20</f>
        <v/>
      </c>
      <c r="H22" s="30">
        <f>H11+H15+H20</f>
        <v/>
      </c>
    </row>
    <row r="23">
      <c r="B23" s="8" t="inlineStr">
        <is>
          <t>기초 현금</t>
        </is>
      </c>
      <c r="F23" s="29" t="n"/>
      <c r="G23" s="29" t="n"/>
      <c r="H23" s="29" t="n"/>
    </row>
    <row r="24">
      <c r="B24" s="3" t="inlineStr">
        <is>
          <t>기말 현금</t>
        </is>
      </c>
      <c r="F24" s="30">
        <f>F22+F23</f>
        <v/>
      </c>
      <c r="G24" s="30">
        <f>G22+G23</f>
        <v/>
      </c>
      <c r="H24" s="30">
        <f>H22+H23</f>
        <v/>
      </c>
    </row>
    <row r="26">
      <c r="B26" s="50" t="inlineStr">
        <is>
          <t>↑ 영업/투자/재무 라인을 채우면 기말현금이 BS 현금과 연결됩니다. (R5)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B1:H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B1" s="14" t="inlineStr">
        <is>
          <t>재무비율 대시보드</t>
        </is>
      </c>
    </row>
    <row r="2">
      <c r="B2" s="5" t="inlineStr">
        <is>
          <t>IS·BS에서 자동 산출</t>
        </is>
      </c>
    </row>
    <row r="3">
      <c r="B3" s="16" t="inlineStr">
        <is>
          <t>항목</t>
        </is>
      </c>
      <c r="C3" s="17" t="inlineStr">
        <is>
          <t>2022A</t>
        </is>
      </c>
      <c r="D3" s="17" t="inlineStr">
        <is>
          <t>2023A</t>
        </is>
      </c>
      <c r="E3" s="17" t="inlineStr">
        <is>
          <t>2024A</t>
        </is>
      </c>
      <c r="F3" s="17" t="inlineStr">
        <is>
          <t>2025E</t>
        </is>
      </c>
      <c r="G3" s="17" t="inlineStr">
        <is>
          <t>2026E</t>
        </is>
      </c>
      <c r="H3" s="17" t="inlineStr">
        <is>
          <t>2027E</t>
        </is>
      </c>
    </row>
    <row r="4">
      <c r="B4" s="34" t="inlineStr">
        <is>
          <t>[ 수익성 ]</t>
        </is>
      </c>
      <c r="C4" s="36" t="inlineStr"/>
      <c r="D4" s="36" t="inlineStr"/>
      <c r="E4" s="36" t="inlineStr"/>
      <c r="F4" s="36" t="inlineStr"/>
      <c r="G4" s="36" t="inlineStr"/>
      <c r="H4" s="36" t="inlineStr"/>
    </row>
    <row r="5">
      <c r="B5" s="8" t="inlineStr">
        <is>
          <t>매출총이익률</t>
        </is>
      </c>
      <c r="C5" s="37">
        <f>IFERROR(IS!C6/IS!C4,"-")</f>
        <v/>
      </c>
      <c r="D5" s="37">
        <f>IFERROR(IS!D6/IS!D4,"-")</f>
        <v/>
      </c>
      <c r="E5" s="37">
        <f>IFERROR(IS!E6/IS!E4,"-")</f>
        <v/>
      </c>
      <c r="F5" s="37">
        <f>IFERROR(IS!F6/IS!F4,"-")</f>
        <v/>
      </c>
      <c r="G5" s="37">
        <f>IFERROR(IS!G6/IS!G4,"-")</f>
        <v/>
      </c>
      <c r="H5" s="37">
        <f>IFERROR(IS!H6/IS!H4,"-")</f>
        <v/>
      </c>
    </row>
    <row r="6">
      <c r="B6" s="8" t="inlineStr">
        <is>
          <t>영업이익률</t>
        </is>
      </c>
      <c r="C6" s="37">
        <f>IFERROR(IS!C8/IS!C4,"-")</f>
        <v/>
      </c>
      <c r="D6" s="37">
        <f>IFERROR(IS!D8/IS!D4,"-")</f>
        <v/>
      </c>
      <c r="E6" s="37">
        <f>IFERROR(IS!E8/IS!E4,"-")</f>
        <v/>
      </c>
      <c r="F6" s="37">
        <f>IFERROR(IS!F8/IS!F4,"-")</f>
        <v/>
      </c>
      <c r="G6" s="37">
        <f>IFERROR(IS!G8/IS!G4,"-")</f>
        <v/>
      </c>
      <c r="H6" s="37">
        <f>IFERROR(IS!H8/IS!H4,"-")</f>
        <v/>
      </c>
    </row>
    <row r="7">
      <c r="B7" s="8" t="inlineStr">
        <is>
          <t>순이익률</t>
        </is>
      </c>
      <c r="C7" s="37">
        <f>IFERROR(IS!C12/IS!C4,"-")</f>
        <v/>
      </c>
      <c r="D7" s="37">
        <f>IFERROR(IS!D12/IS!D4,"-")</f>
        <v/>
      </c>
      <c r="E7" s="37">
        <f>IFERROR(IS!E12/IS!E4,"-")</f>
        <v/>
      </c>
      <c r="F7" s="37">
        <f>IFERROR(IS!F12/IS!F4,"-")</f>
        <v/>
      </c>
      <c r="G7" s="37">
        <f>IFERROR(IS!G12/IS!G4,"-")</f>
        <v/>
      </c>
      <c r="H7" s="37">
        <f>IFERROR(IS!H12/IS!H4,"-")</f>
        <v/>
      </c>
    </row>
    <row r="8">
      <c r="B8" s="8" t="inlineStr">
        <is>
          <t>ROE</t>
        </is>
      </c>
      <c r="C8" s="37">
        <f>IFERROR(IS!C12/BS!C20,"-")</f>
        <v/>
      </c>
      <c r="D8" s="37">
        <f>IFERROR(IS!D12/BS!D20,"-")</f>
        <v/>
      </c>
      <c r="E8" s="37">
        <f>IFERROR(IS!E12/BS!E20,"-")</f>
        <v/>
      </c>
      <c r="F8" s="37">
        <f>IFERROR(IS!F12/BS!F20,"-")</f>
        <v/>
      </c>
      <c r="G8" s="37">
        <f>IFERROR(IS!G12/BS!G20,"-")</f>
        <v/>
      </c>
      <c r="H8" s="37">
        <f>IFERROR(IS!H12/BS!H20,"-")</f>
        <v/>
      </c>
    </row>
    <row r="9">
      <c r="B9" s="8" t="inlineStr">
        <is>
          <t>ROA</t>
        </is>
      </c>
      <c r="C9" s="37">
        <f>IFERROR(IS!C12/BS!C10,"-")</f>
        <v/>
      </c>
      <c r="D9" s="37">
        <f>IFERROR(IS!D12/BS!D10,"-")</f>
        <v/>
      </c>
      <c r="E9" s="37">
        <f>IFERROR(IS!E12/BS!E10,"-")</f>
        <v/>
      </c>
      <c r="F9" s="37">
        <f>IFERROR(IS!F12/BS!F10,"-")</f>
        <v/>
      </c>
      <c r="G9" s="37">
        <f>IFERROR(IS!G12/BS!G10,"-")</f>
        <v/>
      </c>
      <c r="H9" s="37">
        <f>IFERROR(IS!H12/BS!H10,"-")</f>
        <v/>
      </c>
    </row>
    <row r="10">
      <c r="B10" s="34" t="inlineStr">
        <is>
          <t>[ 성장성 ]</t>
        </is>
      </c>
      <c r="C10" s="36" t="inlineStr"/>
      <c r="D10" s="36" t="inlineStr"/>
      <c r="E10" s="36" t="inlineStr"/>
      <c r="F10" s="36" t="inlineStr"/>
      <c r="G10" s="36" t="inlineStr"/>
      <c r="H10" s="36" t="inlineStr"/>
    </row>
    <row r="11">
      <c r="B11" s="8" t="inlineStr">
        <is>
          <t>매출 YoY</t>
        </is>
      </c>
      <c r="C11" s="37">
        <f>IS!C14</f>
        <v/>
      </c>
      <c r="D11" s="37">
        <f>IS!D14</f>
        <v/>
      </c>
      <c r="E11" s="37">
        <f>IS!E14</f>
        <v/>
      </c>
      <c r="F11" s="37">
        <f>IS!F14</f>
        <v/>
      </c>
      <c r="G11" s="37">
        <f>IS!G14</f>
        <v/>
      </c>
      <c r="H11" s="37">
        <f>IS!H14</f>
        <v/>
      </c>
    </row>
    <row r="12">
      <c r="B12" s="8" t="inlineStr">
        <is>
          <t>영업이익 YoY</t>
        </is>
      </c>
      <c r="C12" s="37">
        <f>IFERROR(IS!C8/IS!C8-1,"-")</f>
        <v/>
      </c>
      <c r="D12" s="37">
        <f>IFERROR(IS!D8/IS!C8-1,"-")</f>
        <v/>
      </c>
      <c r="E12" s="37">
        <f>IFERROR(IS!E8/IS!D8-1,"-")</f>
        <v/>
      </c>
      <c r="F12" s="37">
        <f>IFERROR(IS!F8/IS!E8-1,"-")</f>
        <v/>
      </c>
      <c r="G12" s="37">
        <f>IFERROR(IS!G8/IS!F8-1,"-")</f>
        <v/>
      </c>
      <c r="H12" s="37">
        <f>IFERROR(IS!H8/IS!G8-1,"-")</f>
        <v/>
      </c>
    </row>
    <row r="13">
      <c r="B13" s="34" t="inlineStr">
        <is>
          <t>[ 안정성 ]</t>
        </is>
      </c>
      <c r="C13" s="36" t="inlineStr"/>
      <c r="D13" s="36" t="inlineStr"/>
      <c r="E13" s="36" t="inlineStr"/>
      <c r="F13" s="36" t="inlineStr"/>
      <c r="G13" s="36" t="inlineStr"/>
      <c r="H13" s="36" t="inlineStr"/>
    </row>
    <row r="14">
      <c r="B14" s="8" t="inlineStr">
        <is>
          <t>부채비율</t>
        </is>
      </c>
      <c r="C14" s="37">
        <f>IFERROR(BS!C15/BS!C20,"-")</f>
        <v/>
      </c>
      <c r="D14" s="37">
        <f>IFERROR(BS!D15/BS!D20,"-")</f>
        <v/>
      </c>
      <c r="E14" s="37">
        <f>IFERROR(BS!E15/BS!E20,"-")</f>
        <v/>
      </c>
      <c r="F14" s="37">
        <f>IFERROR(BS!F15/BS!F20,"-")</f>
        <v/>
      </c>
      <c r="G14" s="37">
        <f>IFERROR(BS!G15/BS!G20,"-")</f>
        <v/>
      </c>
      <c r="H14" s="37">
        <f>IFERROR(BS!H15/BS!H20,"-")</f>
        <v/>
      </c>
    </row>
    <row r="15">
      <c r="B15" s="8" t="inlineStr">
        <is>
          <t>이자보상배율</t>
        </is>
      </c>
      <c r="C15" s="38">
        <f>IFERROR(IS!C8/IS!C9,"-")</f>
        <v/>
      </c>
      <c r="D15" s="38">
        <f>IFERROR(IS!D8/IS!D9,"-")</f>
        <v/>
      </c>
      <c r="E15" s="38">
        <f>IFERROR(IS!E8/IS!E9,"-")</f>
        <v/>
      </c>
      <c r="F15" s="38">
        <f>IFERROR(IS!F8/IS!F9,"-")</f>
        <v/>
      </c>
      <c r="G15" s="38">
        <f>IFERROR(IS!G8/IS!G9,"-")</f>
        <v/>
      </c>
      <c r="H15" s="38">
        <f>IFERROR(IS!H8/IS!H9,"-")</f>
        <v/>
      </c>
    </row>
    <row r="16">
      <c r="B16" s="34" t="inlineStr">
        <is>
          <t>[ 활동성 ]</t>
        </is>
      </c>
      <c r="C16" s="36" t="inlineStr"/>
      <c r="D16" s="36" t="inlineStr"/>
      <c r="E16" s="36" t="inlineStr"/>
      <c r="F16" s="36" t="inlineStr"/>
      <c r="G16" s="36" t="inlineStr"/>
      <c r="H16" s="36" t="inlineStr"/>
    </row>
    <row r="17">
      <c r="B17" s="8" t="inlineStr">
        <is>
          <t>매출채권 회전일</t>
        </is>
      </c>
      <c r="C17" s="39">
        <f>IFERROR(BS!C7/IS!C4*365,"-")</f>
        <v/>
      </c>
      <c r="D17" s="39">
        <f>IFERROR(BS!D7/IS!D4*365,"-")</f>
        <v/>
      </c>
      <c r="E17" s="39">
        <f>IFERROR(BS!E7/IS!E4*365,"-")</f>
        <v/>
      </c>
      <c r="F17" s="39">
        <f>IFERROR(BS!F7/IS!F4*365,"-")</f>
        <v/>
      </c>
      <c r="G17" s="39">
        <f>IFERROR(BS!G7/IS!G4*365,"-")</f>
        <v/>
      </c>
      <c r="H17" s="39">
        <f>IFERROR(BS!H7/IS!H4*365,"-")</f>
        <v/>
      </c>
    </row>
    <row r="18">
      <c r="B18" s="8" t="inlineStr">
        <is>
          <t>재고 회전일</t>
        </is>
      </c>
      <c r="C18" s="39">
        <f>IFERROR(BS!C8/IS!C5*365,"-")</f>
        <v/>
      </c>
      <c r="D18" s="39">
        <f>IFERROR(BS!D8/IS!D5*365,"-")</f>
        <v/>
      </c>
      <c r="E18" s="39">
        <f>IFERROR(BS!E8/IS!E5*365,"-")</f>
        <v/>
      </c>
      <c r="F18" s="39">
        <f>IFERROR(BS!F8/IS!F5*365,"-")</f>
        <v/>
      </c>
      <c r="G18" s="39">
        <f>IFERROR(BS!G8/IS!G5*365,"-")</f>
        <v/>
      </c>
      <c r="H18" s="39">
        <f>IFERROR(BS!H8/IS!H5*365,"-")</f>
        <v/>
      </c>
    </row>
  </sheetData>
  <conditionalFormatting sqref="C5:H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0B981"/>
    <outlinePr summaryBelow="1" summaryRight="1"/>
    <pageSetUpPr/>
  </sheetPr>
  <dimension ref="B1:H3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14" t="inlineStr">
        <is>
          <t>DCF 밸류에이션</t>
        </is>
      </c>
    </row>
    <row r="2">
      <c r="B2" s="5" t="inlineStr">
        <is>
          <t>단위: 억원 · 주당 원</t>
        </is>
      </c>
    </row>
    <row r="3">
      <c r="B3" s="16" t="inlineStr">
        <is>
          <t>항목</t>
        </is>
      </c>
      <c r="C3" s="17" t="inlineStr">
        <is>
          <t>2025E</t>
        </is>
      </c>
      <c r="D3" s="17" t="inlineStr">
        <is>
          <t>2026E</t>
        </is>
      </c>
      <c r="E3" s="17" t="inlineStr">
        <is>
          <t>2027E</t>
        </is>
      </c>
    </row>
    <row r="4">
      <c r="B4" s="8" t="inlineStr">
        <is>
          <t>영업이익 (EBIT)</t>
        </is>
      </c>
      <c r="C4" s="29" t="n"/>
      <c r="D4" s="29" t="n"/>
      <c r="E4" s="29" t="n"/>
    </row>
    <row r="5">
      <c r="B5" s="8" t="inlineStr">
        <is>
          <t>EBIT×(1-t)</t>
        </is>
      </c>
      <c r="C5" s="29" t="n"/>
      <c r="D5" s="29" t="n"/>
      <c r="E5" s="29" t="n"/>
    </row>
    <row r="6">
      <c r="B6" s="8" t="inlineStr">
        <is>
          <t>(+) 감가상각비</t>
        </is>
      </c>
      <c r="C6" s="29" t="n"/>
      <c r="D6" s="29" t="n"/>
      <c r="E6" s="29" t="n"/>
    </row>
    <row r="7">
      <c r="B7" s="8" t="inlineStr">
        <is>
          <t>(-) Capex</t>
        </is>
      </c>
      <c r="C7" s="29" t="n"/>
      <c r="D7" s="29" t="n"/>
      <c r="E7" s="29" t="n"/>
    </row>
    <row r="8">
      <c r="B8" s="8" t="inlineStr">
        <is>
          <t>(-) 순운전자본 증감</t>
        </is>
      </c>
      <c r="C8" s="29" t="n"/>
      <c r="D8" s="29" t="n"/>
      <c r="E8" s="29" t="n"/>
    </row>
    <row r="9">
      <c r="B9" s="3" t="inlineStr">
        <is>
          <t>FCFF</t>
        </is>
      </c>
      <c r="C9" s="30">
        <f>C5+C6+C7+C8</f>
        <v/>
      </c>
      <c r="D9" s="30">
        <f>D5+D6+D7+D8</f>
        <v/>
      </c>
      <c r="E9" s="30">
        <f>E5+E6+E7+E8</f>
        <v/>
      </c>
    </row>
    <row r="10">
      <c r="B10" s="8" t="inlineStr">
        <is>
          <t>할인연차 n</t>
        </is>
      </c>
      <c r="C10" s="39" t="n">
        <v>1</v>
      </c>
      <c r="D10" s="39" t="n">
        <v>2</v>
      </c>
      <c r="E10" s="39" t="n">
        <v>3</v>
      </c>
    </row>
    <row r="11">
      <c r="B11" s="8" t="inlineStr">
        <is>
          <t>할인계수</t>
        </is>
      </c>
      <c r="C11" s="40">
        <f>1/(1+가정!$C$15)^C10</f>
        <v/>
      </c>
      <c r="D11" s="40">
        <f>1/(1+가정!$C$15)^D10</f>
        <v/>
      </c>
      <c r="E11" s="40">
        <f>1/(1+가정!$C$15)^E10</f>
        <v/>
      </c>
    </row>
    <row r="12">
      <c r="B12" s="8" t="inlineStr">
        <is>
          <t>PV(FCFF)</t>
        </is>
      </c>
      <c r="C12" s="31">
        <f>C9*C11</f>
        <v/>
      </c>
      <c r="D12" s="31">
        <f>D9*D11</f>
        <v/>
      </c>
      <c r="E12" s="31">
        <f>E9*E11</f>
        <v/>
      </c>
    </row>
    <row r="14">
      <c r="B14" s="8" t="inlineStr">
        <is>
          <t>PV(FCFF) 합계</t>
        </is>
      </c>
      <c r="C14" s="29">
        <f>SUM(C12:E12)</f>
        <v/>
      </c>
    </row>
    <row r="15">
      <c r="B15" s="8" t="inlineStr">
        <is>
          <t>영구가치 (TV)</t>
        </is>
      </c>
      <c r="C15" s="29">
        <f>E9*(1+가정!$C$16)/(가정!$C$15-가정!$C$16)</f>
        <v/>
      </c>
    </row>
    <row r="16">
      <c r="B16" s="8" t="inlineStr">
        <is>
          <t>PV(TV)</t>
        </is>
      </c>
      <c r="C16" s="31">
        <f>C15*E11</f>
        <v/>
      </c>
    </row>
    <row r="17">
      <c r="B17" s="3" t="inlineStr">
        <is>
          <t>기업가치 (EV)</t>
        </is>
      </c>
      <c r="C17" s="30">
        <f>C14+C16</f>
        <v/>
      </c>
    </row>
    <row r="18">
      <c r="B18" s="8" t="inlineStr">
        <is>
          <t>(-) 순차입금</t>
        </is>
      </c>
      <c r="C18" s="29">
        <f>BS!E14-BS!E6</f>
        <v/>
      </c>
    </row>
    <row r="19">
      <c r="B19" s="3" t="inlineStr">
        <is>
          <t>자기자본가치</t>
        </is>
      </c>
      <c r="C19" s="30">
        <f>C17-C18</f>
        <v/>
      </c>
    </row>
    <row r="20">
      <c r="B20" s="8" t="inlineStr">
        <is>
          <t>주식수(백만주)</t>
        </is>
      </c>
      <c r="C20" s="41">
        <f>가정!$C$17</f>
        <v/>
      </c>
    </row>
    <row r="21">
      <c r="B21" s="3" t="inlineStr">
        <is>
          <t>주당 내재가치(원)</t>
        </is>
      </c>
      <c r="C21" s="42">
        <f>C19*100000000/(C20*1000000)</f>
        <v/>
      </c>
    </row>
    <row r="22">
      <c r="B22" s="8" t="inlineStr">
        <is>
          <t>(참고) 현재주가(원)</t>
        </is>
      </c>
      <c r="C22" s="43" t="n">
        <v>4000</v>
      </c>
    </row>
    <row r="23">
      <c r="B23" s="8" t="inlineStr">
        <is>
          <t>상승여력</t>
        </is>
      </c>
      <c r="C23" s="37">
        <f>IFERROR(C21/C22-1,"-")</f>
        <v/>
      </c>
    </row>
    <row r="25">
      <c r="B25" s="50" t="inlineStr">
        <is>
          <t>↑ FCFF 구성(EBIT~ΔNWC)만 채우면 EV·주당가치·민감도·투자의견이 자동 산출됩니다. (R6)</t>
        </is>
      </c>
    </row>
    <row r="26">
      <c r="B26" s="44" t="inlineStr">
        <is>
          <t>주당가치 민감도 — WACC × 영구성장률 g</t>
        </is>
      </c>
    </row>
    <row r="27">
      <c r="C27" s="45" t="inlineStr">
        <is>
          <t>WACC＼g</t>
        </is>
      </c>
      <c r="D27" s="46" t="n">
        <v>0.01</v>
      </c>
      <c r="E27" s="46" t="n">
        <v>0.015</v>
      </c>
      <c r="F27" s="46" t="n">
        <v>0.02</v>
      </c>
      <c r="G27" s="46" t="n">
        <v>0.025</v>
      </c>
      <c r="H27" s="46" t="n">
        <v>0.03</v>
      </c>
    </row>
    <row r="28">
      <c r="C28" s="47" t="n">
        <v>0.08</v>
      </c>
      <c r="D28" s="48">
        <f>($C$9/(1+$C28)^1+$D$9/(1+$C28)^2+$E$9/(1+$C28)^3+($E$9*(1+D$27)/($C28-D$27))/(1+$C28)^3-$C$18)*100000000/($C$20*1000000)</f>
        <v/>
      </c>
      <c r="E28" s="48">
        <f>($C$9/(1+$C28)^1+$D$9/(1+$C28)^2+$E$9/(1+$C28)^3+($E$9*(1+E$27)/($C28-E$27))/(1+$C28)^3-$C$18)*100000000/($C$20*1000000)</f>
        <v/>
      </c>
      <c r="F28" s="48">
        <f>($C$9/(1+$C28)^1+$D$9/(1+$C28)^2+$E$9/(1+$C28)^3+($E$9*(1+F$27)/($C28-F$27))/(1+$C28)^3-$C$18)*100000000/($C$20*1000000)</f>
        <v/>
      </c>
      <c r="G28" s="48">
        <f>($C$9/(1+$C28)^1+$D$9/(1+$C28)^2+$E$9/(1+$C28)^3+($E$9*(1+G$27)/($C28-G$27))/(1+$C28)^3-$C$18)*100000000/($C$20*1000000)</f>
        <v/>
      </c>
      <c r="H28" s="48">
        <f>($C$9/(1+$C28)^1+$D$9/(1+$C28)^2+$E$9/(1+$C28)^3+($E$9*(1+H$27)/($C28-H$27))/(1+$C28)^3-$C$18)*100000000/($C$20*1000000)</f>
        <v/>
      </c>
    </row>
    <row r="29">
      <c r="C29" s="47" t="n">
        <v>0.08500000000000001</v>
      </c>
      <c r="D29" s="48">
        <f>($C$9/(1+$C29)^1+$D$9/(1+$C29)^2+$E$9/(1+$C29)^3+($E$9*(1+D$27)/($C29-D$27))/(1+$C29)^3-$C$18)*100000000/($C$20*1000000)</f>
        <v/>
      </c>
      <c r="E29" s="48">
        <f>($C$9/(1+$C29)^1+$D$9/(1+$C29)^2+$E$9/(1+$C29)^3+($E$9*(1+E$27)/($C29-E$27))/(1+$C29)^3-$C$18)*100000000/($C$20*1000000)</f>
        <v/>
      </c>
      <c r="F29" s="48">
        <f>($C$9/(1+$C29)^1+$D$9/(1+$C29)^2+$E$9/(1+$C29)^3+($E$9*(1+F$27)/($C29-F$27))/(1+$C29)^3-$C$18)*100000000/($C$20*1000000)</f>
        <v/>
      </c>
      <c r="G29" s="48">
        <f>($C$9/(1+$C29)^1+$D$9/(1+$C29)^2+$E$9/(1+$C29)^3+($E$9*(1+G$27)/($C29-G$27))/(1+$C29)^3-$C$18)*100000000/($C$20*1000000)</f>
        <v/>
      </c>
      <c r="H29" s="48">
        <f>($C$9/(1+$C29)^1+$D$9/(1+$C29)^2+$E$9/(1+$C29)^3+($E$9*(1+H$27)/($C29-H$27))/(1+$C29)^3-$C$18)*100000000/($C$20*1000000)</f>
        <v/>
      </c>
    </row>
    <row r="30">
      <c r="C30" s="47" t="n">
        <v>0.09</v>
      </c>
      <c r="D30" s="48">
        <f>($C$9/(1+$C30)^1+$D$9/(1+$C30)^2+$E$9/(1+$C30)^3+($E$9*(1+D$27)/($C30-D$27))/(1+$C30)^3-$C$18)*100000000/($C$20*1000000)</f>
        <v/>
      </c>
      <c r="E30" s="48">
        <f>($C$9/(1+$C30)^1+$D$9/(1+$C30)^2+$E$9/(1+$C30)^3+($E$9*(1+E$27)/($C30-E$27))/(1+$C30)^3-$C$18)*100000000/($C$20*1000000)</f>
        <v/>
      </c>
      <c r="F30" s="48">
        <f>($C$9/(1+$C30)^1+$D$9/(1+$C30)^2+$E$9/(1+$C30)^3+($E$9*(1+F$27)/($C30-F$27))/(1+$C30)^3-$C$18)*100000000/($C$20*1000000)</f>
        <v/>
      </c>
      <c r="G30" s="48">
        <f>($C$9/(1+$C30)^1+$D$9/(1+$C30)^2+$E$9/(1+$C30)^3+($E$9*(1+G$27)/($C30-G$27))/(1+$C30)^3-$C$18)*100000000/($C$20*1000000)</f>
        <v/>
      </c>
      <c r="H30" s="48">
        <f>($C$9/(1+$C30)^1+$D$9/(1+$C30)^2+$E$9/(1+$C30)^3+($E$9*(1+H$27)/($C30-H$27))/(1+$C30)^3-$C$18)*100000000/($C$20*1000000)</f>
        <v/>
      </c>
    </row>
    <row r="31">
      <c r="C31" s="47" t="n">
        <v>0.095</v>
      </c>
      <c r="D31" s="48">
        <f>($C$9/(1+$C31)^1+$D$9/(1+$C31)^2+$E$9/(1+$C31)^3+($E$9*(1+D$27)/($C31-D$27))/(1+$C31)^3-$C$18)*100000000/($C$20*1000000)</f>
        <v/>
      </c>
      <c r="E31" s="48">
        <f>($C$9/(1+$C31)^1+$D$9/(1+$C31)^2+$E$9/(1+$C31)^3+($E$9*(1+E$27)/($C31-E$27))/(1+$C31)^3-$C$18)*100000000/($C$20*1000000)</f>
        <v/>
      </c>
      <c r="F31" s="48">
        <f>($C$9/(1+$C31)^1+$D$9/(1+$C31)^2+$E$9/(1+$C31)^3+($E$9*(1+F$27)/($C31-F$27))/(1+$C31)^3-$C$18)*100000000/($C$20*1000000)</f>
        <v/>
      </c>
      <c r="G31" s="48">
        <f>($C$9/(1+$C31)^1+$D$9/(1+$C31)^2+$E$9/(1+$C31)^3+($E$9*(1+G$27)/($C31-G$27))/(1+$C31)^3-$C$18)*100000000/($C$20*1000000)</f>
        <v/>
      </c>
      <c r="H31" s="48">
        <f>($C$9/(1+$C31)^1+$D$9/(1+$C31)^2+$E$9/(1+$C31)^3+($E$9*(1+H$27)/($C31-H$27))/(1+$C31)^3-$C$18)*100000000/($C$20*1000000)</f>
        <v/>
      </c>
    </row>
    <row r="32">
      <c r="C32" s="47" t="n">
        <v>0.1</v>
      </c>
      <c r="D32" s="48">
        <f>($C$9/(1+$C32)^1+$D$9/(1+$C32)^2+$E$9/(1+$C32)^3+($E$9*(1+D$27)/($C32-D$27))/(1+$C32)^3-$C$18)*100000000/($C$20*1000000)</f>
        <v/>
      </c>
      <c r="E32" s="48">
        <f>($C$9/(1+$C32)^1+$D$9/(1+$C32)^2+$E$9/(1+$C32)^3+($E$9*(1+E$27)/($C32-E$27))/(1+$C32)^3-$C$18)*100000000/($C$20*1000000)</f>
        <v/>
      </c>
      <c r="F32" s="48">
        <f>($C$9/(1+$C32)^1+$D$9/(1+$C32)^2+$E$9/(1+$C32)^3+($E$9*(1+F$27)/($C32-F$27))/(1+$C32)^3-$C$18)*100000000/($C$20*1000000)</f>
        <v/>
      </c>
      <c r="G32" s="48">
        <f>($C$9/(1+$C32)^1+$D$9/(1+$C32)^2+$E$9/(1+$C32)^3+($E$9*(1+G$27)/($C32-G$27))/(1+$C32)^3-$C$18)*100000000/($C$20*1000000)</f>
        <v/>
      </c>
      <c r="H32" s="48">
        <f>($C$9/(1+$C32)^1+$D$9/(1+$C32)^2+$E$9/(1+$C32)^3+($E$9*(1+H$27)/($C32-H$27))/(1+$C32)^3-$C$18)*100000000/($C$20*1000000)</f>
        <v/>
      </c>
    </row>
  </sheetData>
  <conditionalFormatting sqref="D28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6" customWidth="1" min="3" max="3"/>
  </cols>
  <sheetData>
    <row r="1">
      <c r="B1" s="49" t="inlineStr">
        <is>
          <t>투자 요약 (Investment Summary)</t>
        </is>
      </c>
    </row>
    <row r="2">
      <c r="B2" s="5" t="inlineStr">
        <is>
          <t>활성 시나리오 기준 · 가정 시트에서 시나리오 전환</t>
        </is>
      </c>
    </row>
    <row r="4">
      <c r="B4" s="8" t="inlineStr">
        <is>
          <t>시나리오</t>
        </is>
      </c>
      <c r="C4" s="9">
        <f>CHOOSE(가정!$E$1,"Base","Bull","Bear")</f>
        <v/>
      </c>
    </row>
    <row r="5">
      <c r="B5" s="8" t="inlineStr">
        <is>
          <t>기업가치 (EV, 억)</t>
        </is>
      </c>
      <c r="C5" s="29">
        <f>DCF!C17</f>
        <v/>
      </c>
    </row>
    <row r="6">
      <c r="B6" s="8" t="inlineStr">
        <is>
          <t>자기자본가치 (억)</t>
        </is>
      </c>
      <c r="C6" s="29">
        <f>DCF!C19</f>
        <v/>
      </c>
    </row>
    <row r="7">
      <c r="B7" s="3" t="inlineStr">
        <is>
          <t>목표주가</t>
        </is>
      </c>
      <c r="C7" s="42">
        <f>DCF!C21</f>
        <v/>
      </c>
    </row>
    <row r="8">
      <c r="B8" s="8" t="inlineStr">
        <is>
          <t>현재주가</t>
        </is>
      </c>
      <c r="C8" s="11">
        <f>DCF!C22</f>
        <v/>
      </c>
    </row>
    <row r="9">
      <c r="B9" s="8" t="inlineStr">
        <is>
          <t>상승여력</t>
        </is>
      </c>
      <c r="C9" s="37">
        <f>DCF!C23</f>
        <v/>
      </c>
    </row>
    <row r="10">
      <c r="B10" s="3" t="inlineStr">
        <is>
          <t>투자의견</t>
        </is>
      </c>
      <c r="C10" s="15">
        <f>IFERROR(IF(C9&gt;0.15,"매수 (Buy)",IF(C9&lt;-0.1,"매도 (Sell)","중립 (Hold)")),"-")</f>
        <v/>
      </c>
    </row>
    <row r="12">
      <c r="B12" s="44" t="inlineStr">
        <is>
          <t>매출·영업이익 추이 (억)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2026-07-09T05:17:55Z</dcterms:created>
  <dcterms:modified xsi:type="dcterms:W3CDTF">2026-07-09T05:20:21Z</dcterms:modified>
</cp:coreProperties>
</file>